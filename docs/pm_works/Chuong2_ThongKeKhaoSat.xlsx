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uLieuNguon" sheetId="1" state="visible" r:id="rId1"/>
    <sheet xmlns:r="http://schemas.openxmlformats.org/officeDocument/2006/relationships" name="2_ThanhPhan" sheetId="2" state="visible" r:id="rId2"/>
    <sheet xmlns:r="http://schemas.openxmlformats.org/officeDocument/2006/relationships" name="3_QuanTam_SV" sheetId="3" state="visible" r:id="rId3"/>
    <sheet xmlns:r="http://schemas.openxmlformats.org/officeDocument/2006/relationships" name="4_QuanTam_CSV" sheetId="4" state="visible" r:id="rId4"/>
    <sheet xmlns:r="http://schemas.openxmlformats.org/officeDocument/2006/relationships" name="5_Insight_Mentorship" sheetId="5" state="visible" r:id="rId5"/>
    <sheet xmlns:r="http://schemas.openxmlformats.org/officeDocument/2006/relationships" name="6_DeXuat_TinhNang" sheetId="6" state="visible" r:id="rId6"/>
    <sheet xmlns:r="http://schemas.openxmlformats.org/officeDocument/2006/relationships" name="7_PhuongPhap"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1"/>
    </font>
    <font>
      <name val="Times New Roman"/>
      <sz val="11"/>
    </font>
  </fonts>
  <fills count="3">
    <fill>
      <patternFill/>
    </fill>
    <fill>
      <patternFill patternType="gray125"/>
    </fill>
    <fill>
      <patternFill patternType="solid">
        <fgColor rgb="00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2" borderId="1" applyAlignment="1" pivotButton="0" quotePrefix="0" xfId="0">
      <alignment vertical="top"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Mức quan tâm nhóm sinh viên (điểm TB, thang 1-5)</a:t>
            </a:r>
          </a:p>
        </rich>
      </tx>
    </title>
    <plotArea>
      <barChart>
        <barDir val="bar"/>
        <grouping val="clustered"/>
        <ser>
          <idx val="0"/>
          <order val="0"/>
          <tx>
            <strRef>
              <f>'3_QuanTam_SV'!C1</f>
            </strRef>
          </tx>
          <spPr>
            <a:ln xmlns:a="http://schemas.openxmlformats.org/drawingml/2006/main">
              <a:prstDash val="solid"/>
            </a:ln>
          </spPr>
          <cat>
            <numRef>
              <f>'3_QuanTam_SV'!$A$2:$A$9</f>
            </numRef>
          </cat>
          <val>
            <numRef>
              <f>'3_QuanTam_SV'!$C$2:$C$9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Mức quan tâm nhóm cựu sinh viên (điểm TB, thang 1-5)</a:t>
            </a:r>
          </a:p>
        </rich>
      </tx>
    </title>
    <plotArea>
      <barChart>
        <barDir val="bar"/>
        <grouping val="clustered"/>
        <ser>
          <idx val="0"/>
          <order val="0"/>
          <tx>
            <strRef>
              <f>'4_QuanTam_CSV'!C1</f>
            </strRef>
          </tx>
          <spPr>
            <a:ln xmlns:a="http://schemas.openxmlformats.org/drawingml/2006/main">
              <a:prstDash val="solid"/>
            </a:ln>
          </spPr>
          <cat>
            <numRef>
              <f>'4_QuanTam_CSV'!$A$2:$A$9</f>
            </numRef>
          </cat>
          <val>
            <numRef>
              <f>'4_QuanTam_CSV'!$C$2:$C$9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6</col>
      <colOff>0</colOff>
      <row>1</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1</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Q91"/>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16" customWidth="1" min="3" max="3"/>
    <col width="16" customWidth="1" min="4" max="4"/>
    <col width="16"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8" customWidth="1" min="22" max="22"/>
    <col width="16" customWidth="1" min="23" max="23"/>
    <col width="14" customWidth="1" min="24" max="24"/>
    <col width="20" customWidth="1" min="25" max="25"/>
    <col width="14" customWidth="1" min="26" max="26"/>
    <col width="4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s>
  <sheetData>
    <row r="1">
      <c r="A1" s="1" t="inlineStr">
        <is>
          <t>STT</t>
        </is>
      </c>
      <c r="B1" s="1" t="inlineStr">
        <is>
          <t>Trường</t>
        </is>
      </c>
      <c r="C1" s="1" t="inlineStr">
        <is>
          <t>Vai trò</t>
        </is>
      </c>
      <c r="D1" s="1" t="inlineStr">
        <is>
          <t>Tham gia nhóm alumni</t>
        </is>
      </c>
      <c r="E1" s="1" t="inlineStr">
        <is>
          <t>Sẵn sàng cung cấp CCCD</t>
        </is>
      </c>
      <c r="F1" s="1" t="inlineStr">
        <is>
          <t>SV_1: Có chat bot để được hỗ trợ nhanh những thông tin của trường/ khoa</t>
        </is>
      </c>
      <c r="G1" s="1" t="inlineStr">
        <is>
          <t>SV_2: Có forum để hỏi đáp theo topic, dễ dàng tìm kiếm những topic có liên quan</t>
        </is>
      </c>
      <c r="H1" s="1" t="inlineStr">
        <is>
          <t>SV_3: Có cơ hội tham gia những networking event</t>
        </is>
      </c>
      <c r="I1" s="1" t="inlineStr">
        <is>
          <t>SV_4: Có trang công bố những thông tin về quỹ/ học bổng cho sinh viên</t>
        </is>
      </c>
      <c r="J1" s="1" t="inlineStr">
        <is>
          <t>SV_5: Có nơi chia sẻ khoá học cho sinh viên</t>
        </is>
      </c>
      <c r="K1" s="1" t="inlineStr">
        <is>
          <t>SV_6: Được tiếp cận với những cơ hội nghề nghiệp (tự apply/ referral từ cựu sinh viên)</t>
        </is>
      </c>
      <c r="L1" s="1" t="inlineStr">
        <is>
          <t>SV_7: Dễ dàng tìm kiếm mentor/ người hướng dẫn trong ngành</t>
        </is>
      </c>
      <c r="M1" s="1" t="inlineStr">
        <is>
          <t>SV_8: Có nguồn thông tin về cơ hội học tập sau đại học</t>
        </is>
      </c>
      <c r="N1" s="1" t="inlineStr">
        <is>
          <t>CSV_1: Cập nhật tin tức mới nhất về trường và khoa.</t>
        </is>
      </c>
      <c r="O1" s="1" t="inlineStr">
        <is>
          <t>CSV_2: Theo dõi hoặc tham gia các sự kiện dành cho sinh viên và cựu sinh viên.</t>
        </is>
      </c>
      <c r="P1" s="1" t="inlineStr">
        <is>
          <t>CSV_3: Giao lưu và thảo luận trong cộng đồng sinh viên – cựu sinh viên.</t>
        </is>
      </c>
      <c r="Q1" s="1" t="inlineStr">
        <is>
          <t>CSV_4: Tìm kiếm hoặc chia sẻ cơ hội nghề nghiệp.</t>
        </is>
      </c>
      <c r="R1" s="1" t="inlineStr">
        <is>
          <t>CSV_5: Tìm kiếm hoặc chia sẻ các khoá học, tài liệu học tập, cơ hội học tập sau đại học.</t>
        </is>
      </c>
      <c r="S1" s="1" t="inlineStr">
        <is>
          <t>CSV_6: Tham gia chương trình mentorship (hỗ trợ hoặc được hỗ trợ).</t>
        </is>
      </c>
      <c r="T1" s="1" t="inlineStr">
        <is>
          <t>CSV_7: Đóng góp, gây quỹ hoặc hỗ trợ các hoạt động vì sinh viên.</t>
        </is>
      </c>
      <c r="U1" s="1" t="inlineStr">
        <is>
          <t>CSV_8: Theo dõi các chương trình ghi nhận và vinh danh cựu sinh viên.</t>
        </is>
      </c>
      <c r="V1" s="1" t="inlineStr">
        <is>
          <t>Alumni sẵn sàng làm mentor</t>
        </is>
      </c>
      <c r="W1" s="1" t="inlineStr">
        <is>
          <t>SV muốn mentorship</t>
        </is>
      </c>
      <c r="X1" s="1" t="inlineStr">
        <is>
          <t>Kế hoạch sau TN</t>
        </is>
      </c>
      <c r="Y1" s="1" t="inlineStr">
        <is>
          <t>Hình thức mentor (alumni)</t>
        </is>
      </c>
      <c r="Z1" s="1" t="inlineStr">
        <is>
          <t>Sẵn sàng dành thời gian</t>
        </is>
      </c>
      <c r="AA1" s="1" t="inlineStr">
        <is>
          <t>Đề xuất tính năng (trích)</t>
        </is>
      </c>
      <c r="AB1" s="1" t="inlineStr">
        <is>
          <t>SV_1_num</t>
        </is>
      </c>
      <c r="AC1" s="1" t="inlineStr">
        <is>
          <t>SV_2_num</t>
        </is>
      </c>
      <c r="AD1" s="1" t="inlineStr">
        <is>
          <t>SV_3_num</t>
        </is>
      </c>
      <c r="AE1" s="1" t="inlineStr">
        <is>
          <t>SV_4_num</t>
        </is>
      </c>
      <c r="AF1" s="1" t="inlineStr">
        <is>
          <t>SV_5_num</t>
        </is>
      </c>
      <c r="AG1" s="1" t="inlineStr">
        <is>
          <t>SV_6_num</t>
        </is>
      </c>
      <c r="AH1" s="1" t="inlineStr">
        <is>
          <t>SV_7_num</t>
        </is>
      </c>
      <c r="AI1" s="1" t="inlineStr">
        <is>
          <t>SV_8_num</t>
        </is>
      </c>
      <c r="AJ1" s="1" t="inlineStr">
        <is>
          <t>CSV_1_num</t>
        </is>
      </c>
      <c r="AK1" s="1" t="inlineStr">
        <is>
          <t>CSV_2_num</t>
        </is>
      </c>
      <c r="AL1" s="1" t="inlineStr">
        <is>
          <t>CSV_3_num</t>
        </is>
      </c>
      <c r="AM1" s="1" t="inlineStr">
        <is>
          <t>CSV_4_num</t>
        </is>
      </c>
      <c r="AN1" s="1" t="inlineStr">
        <is>
          <t>CSV_5_num</t>
        </is>
      </c>
      <c r="AO1" s="1" t="inlineStr">
        <is>
          <t>CSV_6_num</t>
        </is>
      </c>
      <c r="AP1" s="1" t="inlineStr">
        <is>
          <t>CSV_7_num</t>
        </is>
      </c>
      <c r="AQ1" s="1" t="inlineStr">
        <is>
          <t>CSV_8_num</t>
        </is>
      </c>
    </row>
    <row r="2">
      <c r="A2" s="2" t="n">
        <v>1</v>
      </c>
      <c r="B2" s="2" t="inlineStr">
        <is>
          <t>Trường Đại học thuộc ĐHQG</t>
        </is>
      </c>
      <c r="C2" s="2" t="inlineStr">
        <is>
          <t>Sinh viên năm 3-4</t>
        </is>
      </c>
      <c r="D2" s="2" t="inlineStr"/>
      <c r="E2" s="2" t="inlineStr"/>
      <c r="F2" s="2" t="inlineStr">
        <is>
          <t>3 - Bình thường</t>
        </is>
      </c>
      <c r="G2" s="2" t="inlineStr">
        <is>
          <t>3 - Bình thường</t>
        </is>
      </c>
      <c r="H2" s="2" t="inlineStr">
        <is>
          <t>4 - Khá quan tâm</t>
        </is>
      </c>
      <c r="I2" s="2" t="inlineStr">
        <is>
          <t>4 - Khá quan tâm</t>
        </is>
      </c>
      <c r="J2" s="2" t="inlineStr">
        <is>
          <t>3 - Bình thường</t>
        </is>
      </c>
      <c r="K2" s="2" t="inlineStr">
        <is>
          <t>4 - Khá quan tâm</t>
        </is>
      </c>
      <c r="L2" s="2" t="inlineStr">
        <is>
          <t>4 - Khá quan tâm</t>
        </is>
      </c>
      <c r="M2" s="2" t="inlineStr">
        <is>
          <t>4 - Khá quan tâm</t>
        </is>
      </c>
      <c r="N2" s="2" t="inlineStr"/>
      <c r="O2" s="2" t="inlineStr"/>
      <c r="P2" s="2" t="inlineStr"/>
      <c r="Q2" s="2" t="inlineStr"/>
      <c r="R2" s="2" t="inlineStr"/>
      <c r="S2" s="2" t="inlineStr"/>
      <c r="T2" s="2" t="inlineStr"/>
      <c r="U2" s="2" t="inlineStr"/>
      <c r="V2" s="2" t="inlineStr"/>
      <c r="W2" s="2" t="inlineStr">
        <is>
          <t>Có</t>
        </is>
      </c>
      <c r="X2" s="2" t="inlineStr">
        <is>
          <t>Học tiếp chương trình sau đại học</t>
        </is>
      </c>
      <c r="Y2" s="2" t="inlineStr"/>
      <c r="Z2" s="2" t="inlineStr">
        <is>
          <t>Có thể</t>
        </is>
      </c>
      <c r="AA2" s="2" t="inlineStr"/>
      <c r="AB2" s="2">
        <f>IFERROR(VALUE(LEFT(F2,1)),"")</f>
        <v/>
      </c>
      <c r="AC2" s="2">
        <f>IFERROR(VALUE(LEFT(G2,1)),"")</f>
        <v/>
      </c>
      <c r="AD2" s="2">
        <f>IFERROR(VALUE(LEFT(H2,1)),"")</f>
        <v/>
      </c>
      <c r="AE2" s="2">
        <f>IFERROR(VALUE(LEFT(I2,1)),"")</f>
        <v/>
      </c>
      <c r="AF2" s="2">
        <f>IFERROR(VALUE(LEFT(J2,1)),"")</f>
        <v/>
      </c>
      <c r="AG2" s="2">
        <f>IFERROR(VALUE(LEFT(K2,1)),"")</f>
        <v/>
      </c>
      <c r="AH2" s="2">
        <f>IFERROR(VALUE(LEFT(L2,1)),"")</f>
        <v/>
      </c>
      <c r="AI2" s="2">
        <f>IFERROR(VALUE(LEFT(M2,1)),"")</f>
        <v/>
      </c>
      <c r="AJ2" s="2">
        <f>IFERROR(VALUE(LEFT(N2,1)),"")</f>
        <v/>
      </c>
      <c r="AK2" s="2">
        <f>IFERROR(VALUE(LEFT(O2,1)),"")</f>
        <v/>
      </c>
      <c r="AL2" s="2">
        <f>IFERROR(VALUE(LEFT(P2,1)),"")</f>
        <v/>
      </c>
      <c r="AM2" s="2">
        <f>IFERROR(VALUE(LEFT(Q2,1)),"")</f>
        <v/>
      </c>
      <c r="AN2" s="2">
        <f>IFERROR(VALUE(LEFT(R2,1)),"")</f>
        <v/>
      </c>
      <c r="AO2" s="2">
        <f>IFERROR(VALUE(LEFT(S2,1)),"")</f>
        <v/>
      </c>
      <c r="AP2" s="2">
        <f>IFERROR(VALUE(LEFT(T2,1)),"")</f>
        <v/>
      </c>
      <c r="AQ2" s="2">
        <f>IFERROR(VALUE(LEFT(U2,1)),"")</f>
        <v/>
      </c>
    </row>
    <row r="3">
      <c r="A3" s="2" t="n">
        <v>2</v>
      </c>
      <c r="B3" s="2" t="inlineStr">
        <is>
          <t>Trường Đại học thuộc ĐHQG</t>
        </is>
      </c>
      <c r="C3" s="2" t="inlineStr">
        <is>
          <t>Sinh viên năm 3-4</t>
        </is>
      </c>
      <c r="D3" s="2" t="inlineStr"/>
      <c r="E3" s="2" t="inlineStr"/>
      <c r="F3" s="2" t="inlineStr">
        <is>
          <t>5 - Rất quan tâm</t>
        </is>
      </c>
      <c r="G3" s="2" t="inlineStr">
        <is>
          <t>5 - Rất quan tâm</t>
        </is>
      </c>
      <c r="H3" s="2" t="inlineStr">
        <is>
          <t>5 - Rất quan tâm</t>
        </is>
      </c>
      <c r="I3" s="2" t="inlineStr">
        <is>
          <t>5 - Rất quan tâm</t>
        </is>
      </c>
      <c r="J3" s="2" t="inlineStr">
        <is>
          <t>5 - Rất quan tâm</t>
        </is>
      </c>
      <c r="K3" s="2" t="inlineStr">
        <is>
          <t>5 - Rất quan tâm</t>
        </is>
      </c>
      <c r="L3" s="2" t="inlineStr">
        <is>
          <t>5 - Rất quan tâm</t>
        </is>
      </c>
      <c r="M3" s="2" t="inlineStr">
        <is>
          <t>5 - Rất quan tâm</t>
        </is>
      </c>
      <c r="N3" s="2" t="inlineStr"/>
      <c r="O3" s="2" t="inlineStr"/>
      <c r="P3" s="2" t="inlineStr"/>
      <c r="Q3" s="2" t="inlineStr"/>
      <c r="R3" s="2" t="inlineStr"/>
      <c r="S3" s="2" t="inlineStr"/>
      <c r="T3" s="2" t="inlineStr"/>
      <c r="U3" s="2" t="inlineStr"/>
      <c r="V3" s="2" t="inlineStr"/>
      <c r="W3" s="2" t="inlineStr">
        <is>
          <t>Có nhưng chỉ ngắn hạn (1–2 tháng)</t>
        </is>
      </c>
      <c r="X3" s="2" t="inlineStr">
        <is>
          <t>Đi làm</t>
        </is>
      </c>
      <c r="Y3" s="2" t="inlineStr"/>
      <c r="Z3" s="2" t="inlineStr">
        <is>
          <t>Có thể</t>
        </is>
      </c>
      <c r="AA3" s="2" t="inlineStr"/>
      <c r="AB3" s="2">
        <f>IFERROR(VALUE(LEFT(F3,1)),"")</f>
        <v/>
      </c>
      <c r="AC3" s="2">
        <f>IFERROR(VALUE(LEFT(G3,1)),"")</f>
        <v/>
      </c>
      <c r="AD3" s="2">
        <f>IFERROR(VALUE(LEFT(H3,1)),"")</f>
        <v/>
      </c>
      <c r="AE3" s="2">
        <f>IFERROR(VALUE(LEFT(I3,1)),"")</f>
        <v/>
      </c>
      <c r="AF3" s="2">
        <f>IFERROR(VALUE(LEFT(J3,1)),"")</f>
        <v/>
      </c>
      <c r="AG3" s="2">
        <f>IFERROR(VALUE(LEFT(K3,1)),"")</f>
        <v/>
      </c>
      <c r="AH3" s="2">
        <f>IFERROR(VALUE(LEFT(L3,1)),"")</f>
        <v/>
      </c>
      <c r="AI3" s="2">
        <f>IFERROR(VALUE(LEFT(M3,1)),"")</f>
        <v/>
      </c>
      <c r="AJ3" s="2">
        <f>IFERROR(VALUE(LEFT(N3,1)),"")</f>
        <v/>
      </c>
      <c r="AK3" s="2">
        <f>IFERROR(VALUE(LEFT(O3,1)),"")</f>
        <v/>
      </c>
      <c r="AL3" s="2">
        <f>IFERROR(VALUE(LEFT(P3,1)),"")</f>
        <v/>
      </c>
      <c r="AM3" s="2">
        <f>IFERROR(VALUE(LEFT(Q3,1)),"")</f>
        <v/>
      </c>
      <c r="AN3" s="2">
        <f>IFERROR(VALUE(LEFT(R3,1)),"")</f>
        <v/>
      </c>
      <c r="AO3" s="2">
        <f>IFERROR(VALUE(LEFT(S3,1)),"")</f>
        <v/>
      </c>
      <c r="AP3" s="2">
        <f>IFERROR(VALUE(LEFT(T3,1)),"")</f>
        <v/>
      </c>
      <c r="AQ3" s="2">
        <f>IFERROR(VALUE(LEFT(U3,1)),"")</f>
        <v/>
      </c>
    </row>
    <row r="4">
      <c r="A4" s="2" t="n">
        <v>3</v>
      </c>
      <c r="B4" s="2" t="inlineStr">
        <is>
          <t>Trường Đại học thuộc ĐHQG</t>
        </is>
      </c>
      <c r="C4" s="2" t="inlineStr">
        <is>
          <t>Sinh viên năm 3-4</t>
        </is>
      </c>
      <c r="D4" s="2" t="inlineStr"/>
      <c r="E4" s="2" t="inlineStr"/>
      <c r="F4" s="2" t="inlineStr">
        <is>
          <t>3 - Bình thường</t>
        </is>
      </c>
      <c r="G4" s="2" t="inlineStr">
        <is>
          <t>3 - Bình thường</t>
        </is>
      </c>
      <c r="H4" s="2" t="inlineStr">
        <is>
          <t>2 - Ít quan tâm</t>
        </is>
      </c>
      <c r="I4" s="2" t="inlineStr">
        <is>
          <t>4 - Khá quan tâm</t>
        </is>
      </c>
      <c r="J4" s="2" t="inlineStr">
        <is>
          <t>3 - Bình thường</t>
        </is>
      </c>
      <c r="K4" s="2" t="inlineStr">
        <is>
          <t>4 - Khá quan tâm</t>
        </is>
      </c>
      <c r="L4" s="2" t="inlineStr">
        <is>
          <t>3 - Bình thường</t>
        </is>
      </c>
      <c r="M4" s="2" t="inlineStr">
        <is>
          <t>4 - Khá quan tâm</t>
        </is>
      </c>
      <c r="N4" s="2" t="inlineStr"/>
      <c r="O4" s="2" t="inlineStr"/>
      <c r="P4" s="2" t="inlineStr"/>
      <c r="Q4" s="2" t="inlineStr"/>
      <c r="R4" s="2" t="inlineStr"/>
      <c r="S4" s="2" t="inlineStr"/>
      <c r="T4" s="2" t="inlineStr"/>
      <c r="U4" s="2" t="inlineStr"/>
      <c r="V4" s="2" t="inlineStr"/>
      <c r="W4" s="2" t="inlineStr">
        <is>
          <t>Có nhưng chỉ ngắn hạn (1–2 tháng)</t>
        </is>
      </c>
      <c r="X4" s="2" t="inlineStr">
        <is>
          <t>Đi làm</t>
        </is>
      </c>
      <c r="Y4" s="2" t="inlineStr"/>
      <c r="Z4" s="2" t="inlineStr">
        <is>
          <t>Có thể</t>
        </is>
      </c>
      <c r="AA4" s="2" t="inlineStr"/>
      <c r="AB4" s="2">
        <f>IFERROR(VALUE(LEFT(F4,1)),"")</f>
        <v/>
      </c>
      <c r="AC4" s="2">
        <f>IFERROR(VALUE(LEFT(G4,1)),"")</f>
        <v/>
      </c>
      <c r="AD4" s="2">
        <f>IFERROR(VALUE(LEFT(H4,1)),"")</f>
        <v/>
      </c>
      <c r="AE4" s="2">
        <f>IFERROR(VALUE(LEFT(I4,1)),"")</f>
        <v/>
      </c>
      <c r="AF4" s="2">
        <f>IFERROR(VALUE(LEFT(J4,1)),"")</f>
        <v/>
      </c>
      <c r="AG4" s="2">
        <f>IFERROR(VALUE(LEFT(K4,1)),"")</f>
        <v/>
      </c>
      <c r="AH4" s="2">
        <f>IFERROR(VALUE(LEFT(L4,1)),"")</f>
        <v/>
      </c>
      <c r="AI4" s="2">
        <f>IFERROR(VALUE(LEFT(M4,1)),"")</f>
        <v/>
      </c>
      <c r="AJ4" s="2">
        <f>IFERROR(VALUE(LEFT(N4,1)),"")</f>
        <v/>
      </c>
      <c r="AK4" s="2">
        <f>IFERROR(VALUE(LEFT(O4,1)),"")</f>
        <v/>
      </c>
      <c r="AL4" s="2">
        <f>IFERROR(VALUE(LEFT(P4,1)),"")</f>
        <v/>
      </c>
      <c r="AM4" s="2">
        <f>IFERROR(VALUE(LEFT(Q4,1)),"")</f>
        <v/>
      </c>
      <c r="AN4" s="2">
        <f>IFERROR(VALUE(LEFT(R4,1)),"")</f>
        <v/>
      </c>
      <c r="AO4" s="2">
        <f>IFERROR(VALUE(LEFT(S4,1)),"")</f>
        <v/>
      </c>
      <c r="AP4" s="2">
        <f>IFERROR(VALUE(LEFT(T4,1)),"")</f>
        <v/>
      </c>
      <c r="AQ4" s="2">
        <f>IFERROR(VALUE(LEFT(U4,1)),"")</f>
        <v/>
      </c>
    </row>
    <row r="5">
      <c r="A5" s="2" t="n">
        <v>4</v>
      </c>
      <c r="B5" s="2" t="inlineStr">
        <is>
          <t>Trường Đại học thuộc ĐHQG</t>
        </is>
      </c>
      <c r="C5" s="2" t="inlineStr">
        <is>
          <t>Sinh viên năm 3-4</t>
        </is>
      </c>
      <c r="D5" s="2" t="inlineStr"/>
      <c r="E5" s="2" t="inlineStr"/>
      <c r="F5" s="2" t="inlineStr">
        <is>
          <t>5 - Rất quan tâm</t>
        </is>
      </c>
      <c r="G5" s="2" t="inlineStr">
        <is>
          <t>5 - Rất quan tâm</t>
        </is>
      </c>
      <c r="H5" s="2" t="inlineStr">
        <is>
          <t>3 - Bình thường</t>
        </is>
      </c>
      <c r="I5" s="2" t="inlineStr">
        <is>
          <t>5 - Rất quan tâm</t>
        </is>
      </c>
      <c r="J5" s="2" t="inlineStr">
        <is>
          <t>5 - Rất quan tâm</t>
        </is>
      </c>
      <c r="K5" s="2" t="inlineStr">
        <is>
          <t>5 - Rất quan tâm</t>
        </is>
      </c>
      <c r="L5" s="2" t="inlineStr">
        <is>
          <t>5 - Rất quan tâm</t>
        </is>
      </c>
      <c r="M5" s="2" t="inlineStr">
        <is>
          <t>5 - Rất quan tâm</t>
        </is>
      </c>
      <c r="N5" s="2" t="inlineStr"/>
      <c r="O5" s="2" t="inlineStr"/>
      <c r="P5" s="2" t="inlineStr"/>
      <c r="Q5" s="2" t="inlineStr"/>
      <c r="R5" s="2" t="inlineStr"/>
      <c r="S5" s="2" t="inlineStr"/>
      <c r="T5" s="2" t="inlineStr"/>
      <c r="U5" s="2" t="inlineStr"/>
      <c r="V5" s="2" t="inlineStr"/>
      <c r="W5" s="2" t="inlineStr">
        <is>
          <t>Có nhưng chỉ ngắn hạn (1–2 tháng)</t>
        </is>
      </c>
      <c r="X5" s="2" t="inlineStr">
        <is>
          <t>Chưa xác định</t>
        </is>
      </c>
      <c r="Y5" s="2" t="inlineStr"/>
      <c r="Z5" s="2" t="inlineStr">
        <is>
          <t>Có thể</t>
        </is>
      </c>
      <c r="AA5" s="2" t="inlineStr"/>
      <c r="AB5" s="2">
        <f>IFERROR(VALUE(LEFT(F5,1)),"")</f>
        <v/>
      </c>
      <c r="AC5" s="2">
        <f>IFERROR(VALUE(LEFT(G5,1)),"")</f>
        <v/>
      </c>
      <c r="AD5" s="2">
        <f>IFERROR(VALUE(LEFT(H5,1)),"")</f>
        <v/>
      </c>
      <c r="AE5" s="2">
        <f>IFERROR(VALUE(LEFT(I5,1)),"")</f>
        <v/>
      </c>
      <c r="AF5" s="2">
        <f>IFERROR(VALUE(LEFT(J5,1)),"")</f>
        <v/>
      </c>
      <c r="AG5" s="2">
        <f>IFERROR(VALUE(LEFT(K5,1)),"")</f>
        <v/>
      </c>
      <c r="AH5" s="2">
        <f>IFERROR(VALUE(LEFT(L5,1)),"")</f>
        <v/>
      </c>
      <c r="AI5" s="2">
        <f>IFERROR(VALUE(LEFT(M5,1)),"")</f>
        <v/>
      </c>
      <c r="AJ5" s="2">
        <f>IFERROR(VALUE(LEFT(N5,1)),"")</f>
        <v/>
      </c>
      <c r="AK5" s="2">
        <f>IFERROR(VALUE(LEFT(O5,1)),"")</f>
        <v/>
      </c>
      <c r="AL5" s="2">
        <f>IFERROR(VALUE(LEFT(P5,1)),"")</f>
        <v/>
      </c>
      <c r="AM5" s="2">
        <f>IFERROR(VALUE(LEFT(Q5,1)),"")</f>
        <v/>
      </c>
      <c r="AN5" s="2">
        <f>IFERROR(VALUE(LEFT(R5,1)),"")</f>
        <v/>
      </c>
      <c r="AO5" s="2">
        <f>IFERROR(VALUE(LEFT(S5,1)),"")</f>
        <v/>
      </c>
      <c r="AP5" s="2">
        <f>IFERROR(VALUE(LEFT(T5,1)),"")</f>
        <v/>
      </c>
      <c r="AQ5" s="2">
        <f>IFERROR(VALUE(LEFT(U5,1)),"")</f>
        <v/>
      </c>
    </row>
    <row r="6">
      <c r="A6" s="2" t="n">
        <v>5</v>
      </c>
      <c r="B6" s="2" t="inlineStr">
        <is>
          <t>Trường Đại học thuộc ĐHQG</t>
        </is>
      </c>
      <c r="C6" s="2" t="inlineStr">
        <is>
          <t>Sinh viên năm 1-2/ Tân sinh viên</t>
        </is>
      </c>
      <c r="D6" s="2" t="inlineStr"/>
      <c r="E6" s="2" t="inlineStr"/>
      <c r="F6" s="2" t="inlineStr">
        <is>
          <t>5 - Rất quan tâm</t>
        </is>
      </c>
      <c r="G6" s="2" t="inlineStr">
        <is>
          <t>5 - Rất quan tâm</t>
        </is>
      </c>
      <c r="H6" s="2" t="inlineStr">
        <is>
          <t>5 - Rất quan tâm</t>
        </is>
      </c>
      <c r="I6" s="2" t="inlineStr">
        <is>
          <t>5 - Rất quan tâm</t>
        </is>
      </c>
      <c r="J6" s="2" t="inlineStr">
        <is>
          <t>5 - Rất quan tâm</t>
        </is>
      </c>
      <c r="K6" s="2" t="inlineStr">
        <is>
          <t>5 - Rất quan tâm</t>
        </is>
      </c>
      <c r="L6" s="2" t="inlineStr">
        <is>
          <t>5 - Rất quan tâm</t>
        </is>
      </c>
      <c r="M6" s="2" t="inlineStr">
        <is>
          <t>5 - Rất quan tâm</t>
        </is>
      </c>
      <c r="N6" s="2" t="inlineStr"/>
      <c r="O6" s="2" t="inlineStr"/>
      <c r="P6" s="2" t="inlineStr"/>
      <c r="Q6" s="2" t="inlineStr"/>
      <c r="R6" s="2" t="inlineStr"/>
      <c r="S6" s="2" t="inlineStr"/>
      <c r="T6" s="2" t="inlineStr"/>
      <c r="U6" s="2" t="inlineStr"/>
      <c r="V6" s="2" t="inlineStr"/>
      <c r="W6" s="2" t="inlineStr">
        <is>
          <t>Có – định hướng học tập &amp; kỹ năng mềm</t>
        </is>
      </c>
      <c r="X6" s="2" t="inlineStr"/>
      <c r="Y6" s="2" t="inlineStr"/>
      <c r="Z6" s="2" t="inlineStr"/>
      <c r="AA6" s="2" t="inlineStr">
        <is>
          <t>Mình vẫn chưa nghĩ ra</t>
        </is>
      </c>
      <c r="AB6" s="2">
        <f>IFERROR(VALUE(LEFT(F6,1)),"")</f>
        <v/>
      </c>
      <c r="AC6" s="2">
        <f>IFERROR(VALUE(LEFT(G6,1)),"")</f>
        <v/>
      </c>
      <c r="AD6" s="2">
        <f>IFERROR(VALUE(LEFT(H6,1)),"")</f>
        <v/>
      </c>
      <c r="AE6" s="2">
        <f>IFERROR(VALUE(LEFT(I6,1)),"")</f>
        <v/>
      </c>
      <c r="AF6" s="2">
        <f>IFERROR(VALUE(LEFT(J6,1)),"")</f>
        <v/>
      </c>
      <c r="AG6" s="2">
        <f>IFERROR(VALUE(LEFT(K6,1)),"")</f>
        <v/>
      </c>
      <c r="AH6" s="2">
        <f>IFERROR(VALUE(LEFT(L6,1)),"")</f>
        <v/>
      </c>
      <c r="AI6" s="2">
        <f>IFERROR(VALUE(LEFT(M6,1)),"")</f>
        <v/>
      </c>
      <c r="AJ6" s="2">
        <f>IFERROR(VALUE(LEFT(N6,1)),"")</f>
        <v/>
      </c>
      <c r="AK6" s="2">
        <f>IFERROR(VALUE(LEFT(O6,1)),"")</f>
        <v/>
      </c>
      <c r="AL6" s="2">
        <f>IFERROR(VALUE(LEFT(P6,1)),"")</f>
        <v/>
      </c>
      <c r="AM6" s="2">
        <f>IFERROR(VALUE(LEFT(Q6,1)),"")</f>
        <v/>
      </c>
      <c r="AN6" s="2">
        <f>IFERROR(VALUE(LEFT(R6,1)),"")</f>
        <v/>
      </c>
      <c r="AO6" s="2">
        <f>IFERROR(VALUE(LEFT(S6,1)),"")</f>
        <v/>
      </c>
      <c r="AP6" s="2">
        <f>IFERROR(VALUE(LEFT(T6,1)),"")</f>
        <v/>
      </c>
      <c r="AQ6" s="2">
        <f>IFERROR(VALUE(LEFT(U6,1)),"")</f>
        <v/>
      </c>
    </row>
    <row r="7">
      <c r="A7" s="2" t="n">
        <v>6</v>
      </c>
      <c r="B7" s="2" t="inlineStr">
        <is>
          <t>Trường Đại học thuộc ĐHQG</t>
        </is>
      </c>
      <c r="C7" s="2" t="inlineStr">
        <is>
          <t>Cựu sinh viên</t>
        </is>
      </c>
      <c r="D7" s="2" t="inlineStr">
        <is>
          <t>Có</t>
        </is>
      </c>
      <c r="E7" s="2" t="inlineStr">
        <is>
          <t>Không</t>
        </is>
      </c>
      <c r="F7" s="2" t="inlineStr"/>
      <c r="G7" s="2" t="inlineStr"/>
      <c r="H7" s="2" t="inlineStr"/>
      <c r="I7" s="2" t="inlineStr"/>
      <c r="J7" s="2" t="inlineStr"/>
      <c r="K7" s="2" t="inlineStr"/>
      <c r="L7" s="2" t="inlineStr"/>
      <c r="M7" s="2" t="inlineStr"/>
      <c r="N7" s="2" t="inlineStr">
        <is>
          <t>3.0</t>
        </is>
      </c>
      <c r="O7" s="2" t="inlineStr">
        <is>
          <t>3.0</t>
        </is>
      </c>
      <c r="P7" s="2" t="inlineStr">
        <is>
          <t>3.0</t>
        </is>
      </c>
      <c r="Q7" s="2" t="inlineStr">
        <is>
          <t>2.0</t>
        </is>
      </c>
      <c r="R7" s="2" t="inlineStr">
        <is>
          <t>1.0</t>
        </is>
      </c>
      <c r="S7" s="2" t="inlineStr">
        <is>
          <t>1.0</t>
        </is>
      </c>
      <c r="T7" s="2" t="inlineStr">
        <is>
          <t>1.0</t>
        </is>
      </c>
      <c r="U7" s="2" t="inlineStr">
        <is>
          <t>2.0</t>
        </is>
      </c>
      <c r="V7" s="2" t="inlineStr">
        <is>
          <t>Không</t>
        </is>
      </c>
      <c r="W7" s="2" t="inlineStr"/>
      <c r="X7" s="2" t="inlineStr"/>
      <c r="Y7" s="2" t="inlineStr"/>
      <c r="Z7" s="2" t="inlineStr"/>
      <c r="AA7" s="2" t="inlineStr">
        <is>
          <t>chưa</t>
        </is>
      </c>
      <c r="AB7" s="2">
        <f>IFERROR(VALUE(LEFT(F7,1)),"")</f>
        <v/>
      </c>
      <c r="AC7" s="2">
        <f>IFERROR(VALUE(LEFT(G7,1)),"")</f>
        <v/>
      </c>
      <c r="AD7" s="2">
        <f>IFERROR(VALUE(LEFT(H7,1)),"")</f>
        <v/>
      </c>
      <c r="AE7" s="2">
        <f>IFERROR(VALUE(LEFT(I7,1)),"")</f>
        <v/>
      </c>
      <c r="AF7" s="2">
        <f>IFERROR(VALUE(LEFT(J7,1)),"")</f>
        <v/>
      </c>
      <c r="AG7" s="2">
        <f>IFERROR(VALUE(LEFT(K7,1)),"")</f>
        <v/>
      </c>
      <c r="AH7" s="2">
        <f>IFERROR(VALUE(LEFT(L7,1)),"")</f>
        <v/>
      </c>
      <c r="AI7" s="2">
        <f>IFERROR(VALUE(LEFT(M7,1)),"")</f>
        <v/>
      </c>
      <c r="AJ7" s="2">
        <f>IFERROR(VALUE(LEFT(N7,1)),"")</f>
        <v/>
      </c>
      <c r="AK7" s="2">
        <f>IFERROR(VALUE(LEFT(O7,1)),"")</f>
        <v/>
      </c>
      <c r="AL7" s="2">
        <f>IFERROR(VALUE(LEFT(P7,1)),"")</f>
        <v/>
      </c>
      <c r="AM7" s="2">
        <f>IFERROR(VALUE(LEFT(Q7,1)),"")</f>
        <v/>
      </c>
      <c r="AN7" s="2">
        <f>IFERROR(VALUE(LEFT(R7,1)),"")</f>
        <v/>
      </c>
      <c r="AO7" s="2">
        <f>IFERROR(VALUE(LEFT(S7,1)),"")</f>
        <v/>
      </c>
      <c r="AP7" s="2">
        <f>IFERROR(VALUE(LEFT(T7,1)),"")</f>
        <v/>
      </c>
      <c r="AQ7" s="2">
        <f>IFERROR(VALUE(LEFT(U7,1)),"")</f>
        <v/>
      </c>
    </row>
    <row r="8">
      <c r="A8" s="2" t="n">
        <v>7</v>
      </c>
      <c r="B8" s="2" t="inlineStr">
        <is>
          <t>Trường Đại học thuộc ĐHQG</t>
        </is>
      </c>
      <c r="C8" s="2" t="inlineStr">
        <is>
          <t>Cựu sinh viên</t>
        </is>
      </c>
      <c r="D8" s="2" t="inlineStr">
        <is>
          <t>Có</t>
        </is>
      </c>
      <c r="E8" s="2" t="inlineStr">
        <is>
          <t>Không</t>
        </is>
      </c>
      <c r="F8" s="2" t="inlineStr"/>
      <c r="G8" s="2" t="inlineStr"/>
      <c r="H8" s="2" t="inlineStr"/>
      <c r="I8" s="2" t="inlineStr"/>
      <c r="J8" s="2" t="inlineStr"/>
      <c r="K8" s="2" t="inlineStr"/>
      <c r="L8" s="2" t="inlineStr"/>
      <c r="M8" s="2" t="inlineStr"/>
      <c r="N8" s="2" t="inlineStr">
        <is>
          <t>1.0</t>
        </is>
      </c>
      <c r="O8" s="2" t="inlineStr">
        <is>
          <t>2.0</t>
        </is>
      </c>
      <c r="P8" s="2" t="inlineStr">
        <is>
          <t>2.0</t>
        </is>
      </c>
      <c r="Q8" s="2" t="inlineStr">
        <is>
          <t>2.0</t>
        </is>
      </c>
      <c r="R8" s="2" t="inlineStr">
        <is>
          <t>2.0</t>
        </is>
      </c>
      <c r="S8" s="2" t="inlineStr">
        <is>
          <t>2.0</t>
        </is>
      </c>
      <c r="T8" s="2" t="inlineStr">
        <is>
          <t>2.0</t>
        </is>
      </c>
      <c r="U8" s="2" t="inlineStr">
        <is>
          <t>2.0</t>
        </is>
      </c>
      <c r="V8" s="2" t="inlineStr">
        <is>
          <t>Có, nhưng giới hạn thời gian</t>
        </is>
      </c>
      <c r="W8" s="2" t="inlineStr"/>
      <c r="X8" s="2" t="inlineStr"/>
      <c r="Y8" s="2" t="inlineStr">
        <is>
          <t>Workshop nhóm nhỏ</t>
        </is>
      </c>
      <c r="Z8" s="2" t="inlineStr"/>
      <c r="AA8" s="2" t="inlineStr">
        <is>
          <t>Trang web</t>
        </is>
      </c>
      <c r="AB8" s="2">
        <f>IFERROR(VALUE(LEFT(F8,1)),"")</f>
        <v/>
      </c>
      <c r="AC8" s="2">
        <f>IFERROR(VALUE(LEFT(G8,1)),"")</f>
        <v/>
      </c>
      <c r="AD8" s="2">
        <f>IFERROR(VALUE(LEFT(H8,1)),"")</f>
        <v/>
      </c>
      <c r="AE8" s="2">
        <f>IFERROR(VALUE(LEFT(I8,1)),"")</f>
        <v/>
      </c>
      <c r="AF8" s="2">
        <f>IFERROR(VALUE(LEFT(J8,1)),"")</f>
        <v/>
      </c>
      <c r="AG8" s="2">
        <f>IFERROR(VALUE(LEFT(K8,1)),"")</f>
        <v/>
      </c>
      <c r="AH8" s="2">
        <f>IFERROR(VALUE(LEFT(L8,1)),"")</f>
        <v/>
      </c>
      <c r="AI8" s="2">
        <f>IFERROR(VALUE(LEFT(M8,1)),"")</f>
        <v/>
      </c>
      <c r="AJ8" s="2">
        <f>IFERROR(VALUE(LEFT(N8,1)),"")</f>
        <v/>
      </c>
      <c r="AK8" s="2">
        <f>IFERROR(VALUE(LEFT(O8,1)),"")</f>
        <v/>
      </c>
      <c r="AL8" s="2">
        <f>IFERROR(VALUE(LEFT(P8,1)),"")</f>
        <v/>
      </c>
      <c r="AM8" s="2">
        <f>IFERROR(VALUE(LEFT(Q8,1)),"")</f>
        <v/>
      </c>
      <c r="AN8" s="2">
        <f>IFERROR(VALUE(LEFT(R8,1)),"")</f>
        <v/>
      </c>
      <c r="AO8" s="2">
        <f>IFERROR(VALUE(LEFT(S8,1)),"")</f>
        <v/>
      </c>
      <c r="AP8" s="2">
        <f>IFERROR(VALUE(LEFT(T8,1)),"")</f>
        <v/>
      </c>
      <c r="AQ8" s="2">
        <f>IFERROR(VALUE(LEFT(U8,1)),"")</f>
        <v/>
      </c>
    </row>
    <row r="9">
      <c r="A9" s="2" t="n">
        <v>8</v>
      </c>
      <c r="B9" s="2" t="inlineStr">
        <is>
          <t>Trường Đại học thuộc ĐHQG</t>
        </is>
      </c>
      <c r="C9" s="2" t="inlineStr">
        <is>
          <t>Sinh viên năm 3-4</t>
        </is>
      </c>
      <c r="D9" s="2" t="inlineStr"/>
      <c r="E9" s="2" t="inlineStr"/>
      <c r="F9" s="2" t="inlineStr">
        <is>
          <t>4 - Khá quan tâm</t>
        </is>
      </c>
      <c r="G9" s="2" t="inlineStr">
        <is>
          <t>5 - Rất quan tâm</t>
        </is>
      </c>
      <c r="H9" s="2" t="inlineStr">
        <is>
          <t>4 - Khá quan tâm</t>
        </is>
      </c>
      <c r="I9" s="2" t="inlineStr">
        <is>
          <t>5 - Rất quan tâm</t>
        </is>
      </c>
      <c r="J9" s="2" t="inlineStr">
        <is>
          <t>5 - Rất quan tâm</t>
        </is>
      </c>
      <c r="K9" s="2" t="inlineStr">
        <is>
          <t>5 - Rất quan tâm</t>
        </is>
      </c>
      <c r="L9" s="2" t="inlineStr">
        <is>
          <t>5 - Rất quan tâm</t>
        </is>
      </c>
      <c r="M9" s="2" t="inlineStr">
        <is>
          <t>4 - Khá quan tâm</t>
        </is>
      </c>
      <c r="N9" s="2" t="inlineStr"/>
      <c r="O9" s="2" t="inlineStr"/>
      <c r="P9" s="2" t="inlineStr"/>
      <c r="Q9" s="2" t="inlineStr"/>
      <c r="R9" s="2" t="inlineStr"/>
      <c r="S9" s="2" t="inlineStr"/>
      <c r="T9" s="2" t="inlineStr"/>
      <c r="U9" s="2" t="inlineStr"/>
      <c r="V9" s="2" t="inlineStr"/>
      <c r="W9" s="2" t="inlineStr">
        <is>
          <t>Có</t>
        </is>
      </c>
      <c r="X9" s="2" t="inlineStr">
        <is>
          <t>Đi làm</t>
        </is>
      </c>
      <c r="Y9" s="2" t="inlineStr"/>
      <c r="Z9" s="2" t="inlineStr">
        <is>
          <t>Có thể</t>
        </is>
      </c>
      <c r="AA9" s="2" t="inlineStr"/>
      <c r="AB9" s="2">
        <f>IFERROR(VALUE(LEFT(F9,1)),"")</f>
        <v/>
      </c>
      <c r="AC9" s="2">
        <f>IFERROR(VALUE(LEFT(G9,1)),"")</f>
        <v/>
      </c>
      <c r="AD9" s="2">
        <f>IFERROR(VALUE(LEFT(H9,1)),"")</f>
        <v/>
      </c>
      <c r="AE9" s="2">
        <f>IFERROR(VALUE(LEFT(I9,1)),"")</f>
        <v/>
      </c>
      <c r="AF9" s="2">
        <f>IFERROR(VALUE(LEFT(J9,1)),"")</f>
        <v/>
      </c>
      <c r="AG9" s="2">
        <f>IFERROR(VALUE(LEFT(K9,1)),"")</f>
        <v/>
      </c>
      <c r="AH9" s="2">
        <f>IFERROR(VALUE(LEFT(L9,1)),"")</f>
        <v/>
      </c>
      <c r="AI9" s="2">
        <f>IFERROR(VALUE(LEFT(M9,1)),"")</f>
        <v/>
      </c>
      <c r="AJ9" s="2">
        <f>IFERROR(VALUE(LEFT(N9,1)),"")</f>
        <v/>
      </c>
      <c r="AK9" s="2">
        <f>IFERROR(VALUE(LEFT(O9,1)),"")</f>
        <v/>
      </c>
      <c r="AL9" s="2">
        <f>IFERROR(VALUE(LEFT(P9,1)),"")</f>
        <v/>
      </c>
      <c r="AM9" s="2">
        <f>IFERROR(VALUE(LEFT(Q9,1)),"")</f>
        <v/>
      </c>
      <c r="AN9" s="2">
        <f>IFERROR(VALUE(LEFT(R9,1)),"")</f>
        <v/>
      </c>
      <c r="AO9" s="2">
        <f>IFERROR(VALUE(LEFT(S9,1)),"")</f>
        <v/>
      </c>
      <c r="AP9" s="2">
        <f>IFERROR(VALUE(LEFT(T9,1)),"")</f>
        <v/>
      </c>
      <c r="AQ9" s="2">
        <f>IFERROR(VALUE(LEFT(U9,1)),"")</f>
        <v/>
      </c>
    </row>
    <row r="10">
      <c r="A10" s="2" t="n">
        <v>9</v>
      </c>
      <c r="B10" s="2" t="inlineStr">
        <is>
          <t>Trường Đại học thuộc ĐHQG</t>
        </is>
      </c>
      <c r="C10" s="2" t="inlineStr">
        <is>
          <t>Sinh viên năm 1-2/ Tân sinh viên</t>
        </is>
      </c>
      <c r="D10" s="2" t="inlineStr"/>
      <c r="E10" s="2" t="inlineStr"/>
      <c r="F10" s="2" t="inlineStr">
        <is>
          <t>5 - Rất quan tâm</t>
        </is>
      </c>
      <c r="G10" s="2" t="inlineStr">
        <is>
          <t>5 - Rất quan tâm</t>
        </is>
      </c>
      <c r="H10" s="2" t="inlineStr">
        <is>
          <t>3 - Bình thường</t>
        </is>
      </c>
      <c r="I10" s="2" t="inlineStr">
        <is>
          <t>3 - Bình thường</t>
        </is>
      </c>
      <c r="J10" s="2" t="inlineStr">
        <is>
          <t>4 - Khá quan tâm</t>
        </is>
      </c>
      <c r="K10" s="2" t="inlineStr">
        <is>
          <t>5 - Rất quan tâm</t>
        </is>
      </c>
      <c r="L10" s="2" t="inlineStr">
        <is>
          <t>5 - Rất quan tâm</t>
        </is>
      </c>
      <c r="M10" s="2" t="inlineStr">
        <is>
          <t>4 - Khá quan tâm</t>
        </is>
      </c>
      <c r="N10" s="2" t="inlineStr"/>
      <c r="O10" s="2" t="inlineStr"/>
      <c r="P10" s="2" t="inlineStr"/>
      <c r="Q10" s="2" t="inlineStr"/>
      <c r="R10" s="2" t="inlineStr"/>
      <c r="S10" s="2" t="inlineStr"/>
      <c r="T10" s="2" t="inlineStr"/>
      <c r="U10" s="2" t="inlineStr"/>
      <c r="V10" s="2" t="inlineStr"/>
      <c r="W10" s="2" t="inlineStr">
        <is>
          <t>Có nhưng chưa biết bắt đầu</t>
        </is>
      </c>
      <c r="X10" s="2" t="inlineStr"/>
      <c r="Y10" s="2" t="inlineStr"/>
      <c r="Z10" s="2" t="inlineStr"/>
      <c r="AA10" s="2" t="inlineStr">
        <is>
          <t>- Tổng hợp toàn bộ tài liệu của từng môn cho svien năm 1-2 + nguồn video học tập</t>
        </is>
      </c>
      <c r="AB10" s="2">
        <f>IFERROR(VALUE(LEFT(F10,1)),"")</f>
        <v/>
      </c>
      <c r="AC10" s="2">
        <f>IFERROR(VALUE(LEFT(G10,1)),"")</f>
        <v/>
      </c>
      <c r="AD10" s="2">
        <f>IFERROR(VALUE(LEFT(H10,1)),"")</f>
        <v/>
      </c>
      <c r="AE10" s="2">
        <f>IFERROR(VALUE(LEFT(I10,1)),"")</f>
        <v/>
      </c>
      <c r="AF10" s="2">
        <f>IFERROR(VALUE(LEFT(J10,1)),"")</f>
        <v/>
      </c>
      <c r="AG10" s="2">
        <f>IFERROR(VALUE(LEFT(K10,1)),"")</f>
        <v/>
      </c>
      <c r="AH10" s="2">
        <f>IFERROR(VALUE(LEFT(L10,1)),"")</f>
        <v/>
      </c>
      <c r="AI10" s="2">
        <f>IFERROR(VALUE(LEFT(M10,1)),"")</f>
        <v/>
      </c>
      <c r="AJ10" s="2">
        <f>IFERROR(VALUE(LEFT(N10,1)),"")</f>
        <v/>
      </c>
      <c r="AK10" s="2">
        <f>IFERROR(VALUE(LEFT(O10,1)),"")</f>
        <v/>
      </c>
      <c r="AL10" s="2">
        <f>IFERROR(VALUE(LEFT(P10,1)),"")</f>
        <v/>
      </c>
      <c r="AM10" s="2">
        <f>IFERROR(VALUE(LEFT(Q10,1)),"")</f>
        <v/>
      </c>
      <c r="AN10" s="2">
        <f>IFERROR(VALUE(LEFT(R10,1)),"")</f>
        <v/>
      </c>
      <c r="AO10" s="2">
        <f>IFERROR(VALUE(LEFT(S10,1)),"")</f>
        <v/>
      </c>
      <c r="AP10" s="2">
        <f>IFERROR(VALUE(LEFT(T10,1)),"")</f>
        <v/>
      </c>
      <c r="AQ10" s="2">
        <f>IFERROR(VALUE(LEFT(U10,1)),"")</f>
        <v/>
      </c>
    </row>
    <row r="11">
      <c r="A11" s="2" t="n">
        <v>10</v>
      </c>
      <c r="B11" s="2" t="inlineStr">
        <is>
          <t>Trường Đại học thuộc ĐHQG</t>
        </is>
      </c>
      <c r="C11" s="2" t="inlineStr">
        <is>
          <t>Sinh viên năm 1-2/ Tân sinh viên</t>
        </is>
      </c>
      <c r="D11" s="2" t="inlineStr"/>
      <c r="E11" s="2" t="inlineStr"/>
      <c r="F11" s="2" t="inlineStr">
        <is>
          <t>5 - Rất quan tâm</t>
        </is>
      </c>
      <c r="G11" s="2" t="inlineStr">
        <is>
          <t>5 - Rất quan tâm</t>
        </is>
      </c>
      <c r="H11" s="2" t="inlineStr">
        <is>
          <t>4 - Khá quan tâm</t>
        </is>
      </c>
      <c r="I11" s="2" t="inlineStr">
        <is>
          <t>4 - Khá quan tâm</t>
        </is>
      </c>
      <c r="J11" s="2" t="inlineStr">
        <is>
          <t>3 - Bình thường</t>
        </is>
      </c>
      <c r="K11" s="2" t="inlineStr">
        <is>
          <t>5 - Rất quan tâm</t>
        </is>
      </c>
      <c r="L11" s="2" t="inlineStr">
        <is>
          <t>5 - Rất quan tâm</t>
        </is>
      </c>
      <c r="M11" s="2" t="inlineStr">
        <is>
          <t>4 - Khá quan tâm</t>
        </is>
      </c>
      <c r="N11" s="2" t="inlineStr"/>
      <c r="O11" s="2" t="inlineStr"/>
      <c r="P11" s="2" t="inlineStr"/>
      <c r="Q11" s="2" t="inlineStr"/>
      <c r="R11" s="2" t="inlineStr"/>
      <c r="S11" s="2" t="inlineStr"/>
      <c r="T11" s="2" t="inlineStr"/>
      <c r="U11" s="2" t="inlineStr"/>
      <c r="V11" s="2" t="inlineStr"/>
      <c r="W11" s="2" t="inlineStr">
        <is>
          <t>Có nhưng chưa biết bắt đầu</t>
        </is>
      </c>
      <c r="X11" s="2" t="inlineStr"/>
      <c r="Y11" s="2" t="inlineStr"/>
      <c r="Z11" s="2" t="inlineStr"/>
      <c r="AA11" s="2" t="inlineStr">
        <is>
          <t>Phân chia mục/nhóm/forum riêng cho từng CLB đội nhóm để mọi người có thể nắm thông tin các event đang diễn ra, hỏi đáp thắc mắc về các CLB</t>
        </is>
      </c>
      <c r="AB11" s="2">
        <f>IFERROR(VALUE(LEFT(F11,1)),"")</f>
        <v/>
      </c>
      <c r="AC11" s="2">
        <f>IFERROR(VALUE(LEFT(G11,1)),"")</f>
        <v/>
      </c>
      <c r="AD11" s="2">
        <f>IFERROR(VALUE(LEFT(H11,1)),"")</f>
        <v/>
      </c>
      <c r="AE11" s="2">
        <f>IFERROR(VALUE(LEFT(I11,1)),"")</f>
        <v/>
      </c>
      <c r="AF11" s="2">
        <f>IFERROR(VALUE(LEFT(J11,1)),"")</f>
        <v/>
      </c>
      <c r="AG11" s="2">
        <f>IFERROR(VALUE(LEFT(K11,1)),"")</f>
        <v/>
      </c>
      <c r="AH11" s="2">
        <f>IFERROR(VALUE(LEFT(L11,1)),"")</f>
        <v/>
      </c>
      <c r="AI11" s="2">
        <f>IFERROR(VALUE(LEFT(M11,1)),"")</f>
        <v/>
      </c>
      <c r="AJ11" s="2">
        <f>IFERROR(VALUE(LEFT(N11,1)),"")</f>
        <v/>
      </c>
      <c r="AK11" s="2">
        <f>IFERROR(VALUE(LEFT(O11,1)),"")</f>
        <v/>
      </c>
      <c r="AL11" s="2">
        <f>IFERROR(VALUE(LEFT(P11,1)),"")</f>
        <v/>
      </c>
      <c r="AM11" s="2">
        <f>IFERROR(VALUE(LEFT(Q11,1)),"")</f>
        <v/>
      </c>
      <c r="AN11" s="2">
        <f>IFERROR(VALUE(LEFT(R11,1)),"")</f>
        <v/>
      </c>
      <c r="AO11" s="2">
        <f>IFERROR(VALUE(LEFT(S11,1)),"")</f>
        <v/>
      </c>
      <c r="AP11" s="2">
        <f>IFERROR(VALUE(LEFT(T11,1)),"")</f>
        <v/>
      </c>
      <c r="AQ11" s="2">
        <f>IFERROR(VALUE(LEFT(U11,1)),"")</f>
        <v/>
      </c>
    </row>
    <row r="12">
      <c r="A12" s="2" t="n">
        <v>11</v>
      </c>
      <c r="B12" s="2" t="inlineStr">
        <is>
          <t>Trường Đại học thuộc ĐHQG</t>
        </is>
      </c>
      <c r="C12" s="2" t="inlineStr">
        <is>
          <t>Sinh viên năm 3-4</t>
        </is>
      </c>
      <c r="D12" s="2" t="inlineStr"/>
      <c r="E12" s="2" t="inlineStr"/>
      <c r="F12" s="2" t="inlineStr">
        <is>
          <t>4 - Khá quan tâm</t>
        </is>
      </c>
      <c r="G12" s="2" t="inlineStr">
        <is>
          <t>5 - Rất quan tâm</t>
        </is>
      </c>
      <c r="H12" s="2" t="inlineStr">
        <is>
          <t>5 - Rất quan tâm</t>
        </is>
      </c>
      <c r="I12" s="2" t="inlineStr">
        <is>
          <t>4 - Khá quan tâm</t>
        </is>
      </c>
      <c r="J12" s="2" t="inlineStr">
        <is>
          <t>4 - Khá quan tâm</t>
        </is>
      </c>
      <c r="K12" s="2" t="inlineStr">
        <is>
          <t>5 - Rất quan tâm</t>
        </is>
      </c>
      <c r="L12" s="2" t="inlineStr">
        <is>
          <t>5 - Rất quan tâm</t>
        </is>
      </c>
      <c r="M12" s="2" t="inlineStr">
        <is>
          <t>5 - Rất quan tâm</t>
        </is>
      </c>
      <c r="N12" s="2" t="inlineStr"/>
      <c r="O12" s="2" t="inlineStr"/>
      <c r="P12" s="2" t="inlineStr"/>
      <c r="Q12" s="2" t="inlineStr"/>
      <c r="R12" s="2" t="inlineStr"/>
      <c r="S12" s="2" t="inlineStr"/>
      <c r="T12" s="2" t="inlineStr"/>
      <c r="U12" s="2" t="inlineStr"/>
      <c r="V12" s="2" t="inlineStr"/>
      <c r="W12" s="2" t="inlineStr">
        <is>
          <t>Có nhưng chỉ ngắn hạn (1–2 tháng)</t>
        </is>
      </c>
      <c r="X12" s="2" t="inlineStr">
        <is>
          <t>Đi làm</t>
        </is>
      </c>
      <c r="Y12" s="2" t="inlineStr"/>
      <c r="Z12" s="2" t="inlineStr">
        <is>
          <t>Có thể</t>
        </is>
      </c>
      <c r="AA12" s="2" t="inlineStr"/>
      <c r="AB12" s="2">
        <f>IFERROR(VALUE(LEFT(F12,1)),"")</f>
        <v/>
      </c>
      <c r="AC12" s="2">
        <f>IFERROR(VALUE(LEFT(G12,1)),"")</f>
        <v/>
      </c>
      <c r="AD12" s="2">
        <f>IFERROR(VALUE(LEFT(H12,1)),"")</f>
        <v/>
      </c>
      <c r="AE12" s="2">
        <f>IFERROR(VALUE(LEFT(I12,1)),"")</f>
        <v/>
      </c>
      <c r="AF12" s="2">
        <f>IFERROR(VALUE(LEFT(J12,1)),"")</f>
        <v/>
      </c>
      <c r="AG12" s="2">
        <f>IFERROR(VALUE(LEFT(K12,1)),"")</f>
        <v/>
      </c>
      <c r="AH12" s="2">
        <f>IFERROR(VALUE(LEFT(L12,1)),"")</f>
        <v/>
      </c>
      <c r="AI12" s="2">
        <f>IFERROR(VALUE(LEFT(M12,1)),"")</f>
        <v/>
      </c>
      <c r="AJ12" s="2">
        <f>IFERROR(VALUE(LEFT(N12,1)),"")</f>
        <v/>
      </c>
      <c r="AK12" s="2">
        <f>IFERROR(VALUE(LEFT(O12,1)),"")</f>
        <v/>
      </c>
      <c r="AL12" s="2">
        <f>IFERROR(VALUE(LEFT(P12,1)),"")</f>
        <v/>
      </c>
      <c r="AM12" s="2">
        <f>IFERROR(VALUE(LEFT(Q12,1)),"")</f>
        <v/>
      </c>
      <c r="AN12" s="2">
        <f>IFERROR(VALUE(LEFT(R12,1)),"")</f>
        <v/>
      </c>
      <c r="AO12" s="2">
        <f>IFERROR(VALUE(LEFT(S12,1)),"")</f>
        <v/>
      </c>
      <c r="AP12" s="2">
        <f>IFERROR(VALUE(LEFT(T12,1)),"")</f>
        <v/>
      </c>
      <c r="AQ12" s="2">
        <f>IFERROR(VALUE(LEFT(U12,1)),"")</f>
        <v/>
      </c>
    </row>
    <row r="13">
      <c r="A13" s="2" t="n">
        <v>12</v>
      </c>
      <c r="B13" s="2" t="inlineStr">
        <is>
          <t>Trường Đại học ngoài ĐHQG tại Việt Nam</t>
        </is>
      </c>
      <c r="C13" s="2" t="inlineStr">
        <is>
          <t>Sinh viên năm 3-4</t>
        </is>
      </c>
      <c r="D13" s="2" t="inlineStr"/>
      <c r="E13" s="2" t="inlineStr"/>
      <c r="F13" s="2" t="inlineStr">
        <is>
          <t>3 - Bình thường</t>
        </is>
      </c>
      <c r="G13" s="2" t="inlineStr">
        <is>
          <t>4 - Khá quan tâm</t>
        </is>
      </c>
      <c r="H13" s="2" t="inlineStr">
        <is>
          <t>4 - Khá quan tâm</t>
        </is>
      </c>
      <c r="I13" s="2" t="inlineStr">
        <is>
          <t>4 - Khá quan tâm</t>
        </is>
      </c>
      <c r="J13" s="2" t="inlineStr">
        <is>
          <t>4 - Khá quan tâm</t>
        </is>
      </c>
      <c r="K13" s="2" t="inlineStr">
        <is>
          <t>4 - Khá quan tâm</t>
        </is>
      </c>
      <c r="L13" s="2" t="inlineStr">
        <is>
          <t>4 - Khá quan tâm</t>
        </is>
      </c>
      <c r="M13" s="2" t="inlineStr">
        <is>
          <t>4 - Khá quan tâm</t>
        </is>
      </c>
      <c r="N13" s="2" t="inlineStr"/>
      <c r="O13" s="2" t="inlineStr"/>
      <c r="P13" s="2" t="inlineStr"/>
      <c r="Q13" s="2" t="inlineStr"/>
      <c r="R13" s="2" t="inlineStr"/>
      <c r="S13" s="2" t="inlineStr"/>
      <c r="T13" s="2" t="inlineStr"/>
      <c r="U13" s="2" t="inlineStr"/>
      <c r="V13" s="2" t="inlineStr"/>
      <c r="W13" s="2" t="inlineStr">
        <is>
          <t>Có nhưng chỉ ngắn hạn (1–2 tháng)</t>
        </is>
      </c>
      <c r="X13" s="2" t="inlineStr">
        <is>
          <t>Đi làm</t>
        </is>
      </c>
      <c r="Y13" s="2" t="inlineStr"/>
      <c r="Z13" s="2" t="inlineStr">
        <is>
          <t>Có thể</t>
        </is>
      </c>
      <c r="AA13" s="2" t="inlineStr"/>
      <c r="AB13" s="2">
        <f>IFERROR(VALUE(LEFT(F13,1)),"")</f>
        <v/>
      </c>
      <c r="AC13" s="2">
        <f>IFERROR(VALUE(LEFT(G13,1)),"")</f>
        <v/>
      </c>
      <c r="AD13" s="2">
        <f>IFERROR(VALUE(LEFT(H13,1)),"")</f>
        <v/>
      </c>
      <c r="AE13" s="2">
        <f>IFERROR(VALUE(LEFT(I13,1)),"")</f>
        <v/>
      </c>
      <c r="AF13" s="2">
        <f>IFERROR(VALUE(LEFT(J13,1)),"")</f>
        <v/>
      </c>
      <c r="AG13" s="2">
        <f>IFERROR(VALUE(LEFT(K13,1)),"")</f>
        <v/>
      </c>
      <c r="AH13" s="2">
        <f>IFERROR(VALUE(LEFT(L13,1)),"")</f>
        <v/>
      </c>
      <c r="AI13" s="2">
        <f>IFERROR(VALUE(LEFT(M13,1)),"")</f>
        <v/>
      </c>
      <c r="AJ13" s="2">
        <f>IFERROR(VALUE(LEFT(N13,1)),"")</f>
        <v/>
      </c>
      <c r="AK13" s="2">
        <f>IFERROR(VALUE(LEFT(O13,1)),"")</f>
        <v/>
      </c>
      <c r="AL13" s="2">
        <f>IFERROR(VALUE(LEFT(P13,1)),"")</f>
        <v/>
      </c>
      <c r="AM13" s="2">
        <f>IFERROR(VALUE(LEFT(Q13,1)),"")</f>
        <v/>
      </c>
      <c r="AN13" s="2">
        <f>IFERROR(VALUE(LEFT(R13,1)),"")</f>
        <v/>
      </c>
      <c r="AO13" s="2">
        <f>IFERROR(VALUE(LEFT(S13,1)),"")</f>
        <v/>
      </c>
      <c r="AP13" s="2">
        <f>IFERROR(VALUE(LEFT(T13,1)),"")</f>
        <v/>
      </c>
      <c r="AQ13" s="2">
        <f>IFERROR(VALUE(LEFT(U13,1)),"")</f>
        <v/>
      </c>
    </row>
    <row r="14">
      <c r="A14" s="2" t="n">
        <v>13</v>
      </c>
      <c r="B14" s="2" t="inlineStr">
        <is>
          <t>Trường Đại học thuộc ĐHQG</t>
        </is>
      </c>
      <c r="C14" s="2" t="inlineStr">
        <is>
          <t>Sinh viên năm 3-4</t>
        </is>
      </c>
      <c r="D14" s="2" t="inlineStr"/>
      <c r="E14" s="2" t="inlineStr"/>
      <c r="F14" s="2" t="inlineStr">
        <is>
          <t>4 - Khá quan tâm</t>
        </is>
      </c>
      <c r="G14" s="2" t="inlineStr">
        <is>
          <t>5 - Rất quan tâm</t>
        </is>
      </c>
      <c r="H14" s="2" t="inlineStr">
        <is>
          <t>5 - Rất quan tâm</t>
        </is>
      </c>
      <c r="I14" s="2" t="inlineStr">
        <is>
          <t>5 - Rất quan tâm</t>
        </is>
      </c>
      <c r="J14" s="2" t="inlineStr">
        <is>
          <t>5 - Rất quan tâm</t>
        </is>
      </c>
      <c r="K14" s="2" t="inlineStr">
        <is>
          <t>4 - Khá quan tâm</t>
        </is>
      </c>
      <c r="L14" s="2" t="inlineStr">
        <is>
          <t>5 - Rất quan tâm</t>
        </is>
      </c>
      <c r="M14" s="2" t="inlineStr">
        <is>
          <t>5 - Rất quan tâm</t>
        </is>
      </c>
      <c r="N14" s="2" t="inlineStr"/>
      <c r="O14" s="2" t="inlineStr"/>
      <c r="P14" s="2" t="inlineStr"/>
      <c r="Q14" s="2" t="inlineStr"/>
      <c r="R14" s="2" t="inlineStr"/>
      <c r="S14" s="2" t="inlineStr"/>
      <c r="T14" s="2" t="inlineStr"/>
      <c r="U14" s="2" t="inlineStr"/>
      <c r="V14" s="2" t="inlineStr"/>
      <c r="W14" s="2" t="inlineStr">
        <is>
          <t>Có</t>
        </is>
      </c>
      <c r="X14" s="2" t="inlineStr">
        <is>
          <t>Đi làm</t>
        </is>
      </c>
      <c r="Y14" s="2" t="inlineStr"/>
      <c r="Z14" s="2" t="inlineStr">
        <is>
          <t>Có</t>
        </is>
      </c>
      <c r="AA14" s="2" t="inlineStr">
        <is>
          <t>Không</t>
        </is>
      </c>
      <c r="AB14" s="2">
        <f>IFERROR(VALUE(LEFT(F14,1)),"")</f>
        <v/>
      </c>
      <c r="AC14" s="2">
        <f>IFERROR(VALUE(LEFT(G14,1)),"")</f>
        <v/>
      </c>
      <c r="AD14" s="2">
        <f>IFERROR(VALUE(LEFT(H14,1)),"")</f>
        <v/>
      </c>
      <c r="AE14" s="2">
        <f>IFERROR(VALUE(LEFT(I14,1)),"")</f>
        <v/>
      </c>
      <c r="AF14" s="2">
        <f>IFERROR(VALUE(LEFT(J14,1)),"")</f>
        <v/>
      </c>
      <c r="AG14" s="2">
        <f>IFERROR(VALUE(LEFT(K14,1)),"")</f>
        <v/>
      </c>
      <c r="AH14" s="2">
        <f>IFERROR(VALUE(LEFT(L14,1)),"")</f>
        <v/>
      </c>
      <c r="AI14" s="2">
        <f>IFERROR(VALUE(LEFT(M14,1)),"")</f>
        <v/>
      </c>
      <c r="AJ14" s="2">
        <f>IFERROR(VALUE(LEFT(N14,1)),"")</f>
        <v/>
      </c>
      <c r="AK14" s="2">
        <f>IFERROR(VALUE(LEFT(O14,1)),"")</f>
        <v/>
      </c>
      <c r="AL14" s="2">
        <f>IFERROR(VALUE(LEFT(P14,1)),"")</f>
        <v/>
      </c>
      <c r="AM14" s="2">
        <f>IFERROR(VALUE(LEFT(Q14,1)),"")</f>
        <v/>
      </c>
      <c r="AN14" s="2">
        <f>IFERROR(VALUE(LEFT(R14,1)),"")</f>
        <v/>
      </c>
      <c r="AO14" s="2">
        <f>IFERROR(VALUE(LEFT(S14,1)),"")</f>
        <v/>
      </c>
      <c r="AP14" s="2">
        <f>IFERROR(VALUE(LEFT(T14,1)),"")</f>
        <v/>
      </c>
      <c r="AQ14" s="2">
        <f>IFERROR(VALUE(LEFT(U14,1)),"")</f>
        <v/>
      </c>
    </row>
    <row r="15">
      <c r="A15" s="2" t="n">
        <v>14</v>
      </c>
      <c r="B15" s="2" t="inlineStr">
        <is>
          <t>Trường Đại học thuộc ĐHQG</t>
        </is>
      </c>
      <c r="C15" s="2" t="inlineStr">
        <is>
          <t>Sinh viên năm 1-2/ Tân sinh viên</t>
        </is>
      </c>
      <c r="D15" s="2" t="inlineStr"/>
      <c r="E15" s="2" t="inlineStr"/>
      <c r="F15" s="2" t="inlineStr">
        <is>
          <t>4 - Khá quan tâm</t>
        </is>
      </c>
      <c r="G15" s="2" t="inlineStr">
        <is>
          <t>5 - Rất quan tâm</t>
        </is>
      </c>
      <c r="H15" s="2" t="inlineStr">
        <is>
          <t>4 - Khá quan tâm</t>
        </is>
      </c>
      <c r="I15" s="2" t="inlineStr">
        <is>
          <t>1 - Hoàn toàn không quan tâm</t>
        </is>
      </c>
      <c r="J15" s="2" t="inlineStr">
        <is>
          <t>1 - Hoàn toàn không quan tâm</t>
        </is>
      </c>
      <c r="K15" s="2" t="inlineStr">
        <is>
          <t>4 - Khá quan tâm</t>
        </is>
      </c>
      <c r="L15" s="2" t="inlineStr">
        <is>
          <t>5 - Rất quan tâm</t>
        </is>
      </c>
      <c r="M15" s="2" t="inlineStr">
        <is>
          <t>5 - Rất quan tâm</t>
        </is>
      </c>
      <c r="N15" s="2" t="inlineStr"/>
      <c r="O15" s="2" t="inlineStr"/>
      <c r="P15" s="2" t="inlineStr"/>
      <c r="Q15" s="2" t="inlineStr"/>
      <c r="R15" s="2" t="inlineStr"/>
      <c r="S15" s="2" t="inlineStr"/>
      <c r="T15" s="2" t="inlineStr"/>
      <c r="U15" s="2" t="inlineStr"/>
      <c r="V15" s="2" t="inlineStr"/>
      <c r="W15" s="2" t="inlineStr">
        <is>
          <t>Có nhưng chưa biết bắt đầu</t>
        </is>
      </c>
      <c r="X15" s="2" t="inlineStr"/>
      <c r="Y15" s="2" t="inlineStr"/>
      <c r="Z15" s="2" t="inlineStr"/>
      <c r="AA15" s="2" t="inlineStr">
        <is>
          <t>chưa nghĩ ra</t>
        </is>
      </c>
      <c r="AB15" s="2">
        <f>IFERROR(VALUE(LEFT(F15,1)),"")</f>
        <v/>
      </c>
      <c r="AC15" s="2">
        <f>IFERROR(VALUE(LEFT(G15,1)),"")</f>
        <v/>
      </c>
      <c r="AD15" s="2">
        <f>IFERROR(VALUE(LEFT(H15,1)),"")</f>
        <v/>
      </c>
      <c r="AE15" s="2">
        <f>IFERROR(VALUE(LEFT(I15,1)),"")</f>
        <v/>
      </c>
      <c r="AF15" s="2">
        <f>IFERROR(VALUE(LEFT(J15,1)),"")</f>
        <v/>
      </c>
      <c r="AG15" s="2">
        <f>IFERROR(VALUE(LEFT(K15,1)),"")</f>
        <v/>
      </c>
      <c r="AH15" s="2">
        <f>IFERROR(VALUE(LEFT(L15,1)),"")</f>
        <v/>
      </c>
      <c r="AI15" s="2">
        <f>IFERROR(VALUE(LEFT(M15,1)),"")</f>
        <v/>
      </c>
      <c r="AJ15" s="2">
        <f>IFERROR(VALUE(LEFT(N15,1)),"")</f>
        <v/>
      </c>
      <c r="AK15" s="2">
        <f>IFERROR(VALUE(LEFT(O15,1)),"")</f>
        <v/>
      </c>
      <c r="AL15" s="2">
        <f>IFERROR(VALUE(LEFT(P15,1)),"")</f>
        <v/>
      </c>
      <c r="AM15" s="2">
        <f>IFERROR(VALUE(LEFT(Q15,1)),"")</f>
        <v/>
      </c>
      <c r="AN15" s="2">
        <f>IFERROR(VALUE(LEFT(R15,1)),"")</f>
        <v/>
      </c>
      <c r="AO15" s="2">
        <f>IFERROR(VALUE(LEFT(S15,1)),"")</f>
        <v/>
      </c>
      <c r="AP15" s="2">
        <f>IFERROR(VALUE(LEFT(T15,1)),"")</f>
        <v/>
      </c>
      <c r="AQ15" s="2">
        <f>IFERROR(VALUE(LEFT(U15,1)),"")</f>
        <v/>
      </c>
    </row>
    <row r="16">
      <c r="A16" s="2" t="n">
        <v>15</v>
      </c>
      <c r="B16" s="2" t="inlineStr">
        <is>
          <t>Trường Đại học thuộc ĐHQG</t>
        </is>
      </c>
      <c r="C16" s="2" t="inlineStr">
        <is>
          <t>Sinh viên năm 1-2/ Tân sinh viên</t>
        </is>
      </c>
      <c r="D16" s="2" t="inlineStr"/>
      <c r="E16" s="2" t="inlineStr"/>
      <c r="F16" s="2" t="inlineStr">
        <is>
          <t>4 - Khá quan tâm</t>
        </is>
      </c>
      <c r="G16" s="2" t="inlineStr">
        <is>
          <t>5 - Rất quan tâm</t>
        </is>
      </c>
      <c r="H16" s="2" t="inlineStr">
        <is>
          <t>4 - Khá quan tâm</t>
        </is>
      </c>
      <c r="I16" s="2" t="inlineStr">
        <is>
          <t>4 - Khá quan tâm</t>
        </is>
      </c>
      <c r="J16" s="2" t="inlineStr">
        <is>
          <t>3 - Bình thường</t>
        </is>
      </c>
      <c r="K16" s="2" t="inlineStr">
        <is>
          <t>3 - Bình thường</t>
        </is>
      </c>
      <c r="L16" s="2" t="inlineStr">
        <is>
          <t>4 - Khá quan tâm</t>
        </is>
      </c>
      <c r="M16" s="2" t="inlineStr">
        <is>
          <t>4 - Khá quan tâm</t>
        </is>
      </c>
      <c r="N16" s="2" t="inlineStr"/>
      <c r="O16" s="2" t="inlineStr"/>
      <c r="P16" s="2" t="inlineStr"/>
      <c r="Q16" s="2" t="inlineStr"/>
      <c r="R16" s="2" t="inlineStr"/>
      <c r="S16" s="2" t="inlineStr"/>
      <c r="T16" s="2" t="inlineStr"/>
      <c r="U16" s="2" t="inlineStr"/>
      <c r="V16" s="2" t="inlineStr"/>
      <c r="W16" s="2" t="inlineStr">
        <is>
          <t>Có nhưng chưa biết bắt đầu</t>
        </is>
      </c>
      <c r="X16" s="2" t="inlineStr"/>
      <c r="Y16" s="2" t="inlineStr"/>
      <c r="Z16" s="2" t="inlineStr"/>
      <c r="AA16" s="2" t="inlineStr">
        <is>
          <t>Em không có ý kiến gì thêm</t>
        </is>
      </c>
      <c r="AB16" s="2">
        <f>IFERROR(VALUE(LEFT(F16,1)),"")</f>
        <v/>
      </c>
      <c r="AC16" s="2">
        <f>IFERROR(VALUE(LEFT(G16,1)),"")</f>
        <v/>
      </c>
      <c r="AD16" s="2">
        <f>IFERROR(VALUE(LEFT(H16,1)),"")</f>
        <v/>
      </c>
      <c r="AE16" s="2">
        <f>IFERROR(VALUE(LEFT(I16,1)),"")</f>
        <v/>
      </c>
      <c r="AF16" s="2">
        <f>IFERROR(VALUE(LEFT(J16,1)),"")</f>
        <v/>
      </c>
      <c r="AG16" s="2">
        <f>IFERROR(VALUE(LEFT(K16,1)),"")</f>
        <v/>
      </c>
      <c r="AH16" s="2">
        <f>IFERROR(VALUE(LEFT(L16,1)),"")</f>
        <v/>
      </c>
      <c r="AI16" s="2">
        <f>IFERROR(VALUE(LEFT(M16,1)),"")</f>
        <v/>
      </c>
      <c r="AJ16" s="2">
        <f>IFERROR(VALUE(LEFT(N16,1)),"")</f>
        <v/>
      </c>
      <c r="AK16" s="2">
        <f>IFERROR(VALUE(LEFT(O16,1)),"")</f>
        <v/>
      </c>
      <c r="AL16" s="2">
        <f>IFERROR(VALUE(LEFT(P16,1)),"")</f>
        <v/>
      </c>
      <c r="AM16" s="2">
        <f>IFERROR(VALUE(LEFT(Q16,1)),"")</f>
        <v/>
      </c>
      <c r="AN16" s="2">
        <f>IFERROR(VALUE(LEFT(R16,1)),"")</f>
        <v/>
      </c>
      <c r="AO16" s="2">
        <f>IFERROR(VALUE(LEFT(S16,1)),"")</f>
        <v/>
      </c>
      <c r="AP16" s="2">
        <f>IFERROR(VALUE(LEFT(T16,1)),"")</f>
        <v/>
      </c>
      <c r="AQ16" s="2">
        <f>IFERROR(VALUE(LEFT(U16,1)),"")</f>
        <v/>
      </c>
    </row>
    <row r="17">
      <c r="A17" s="2" t="n">
        <v>16</v>
      </c>
      <c r="B17" s="2" t="inlineStr">
        <is>
          <t>Trường Đại học ngoài ĐHQG tại Việt Nam</t>
        </is>
      </c>
      <c r="C17" s="2" t="inlineStr">
        <is>
          <t>Sinh viên năm 1-2/ Tân sinh viên</t>
        </is>
      </c>
      <c r="D17" s="2" t="inlineStr"/>
      <c r="E17" s="2" t="inlineStr"/>
      <c r="F17" s="2" t="inlineStr">
        <is>
          <t>5 - Rất quan tâm</t>
        </is>
      </c>
      <c r="G17" s="2" t="inlineStr">
        <is>
          <t>5 - Rất quan tâm</t>
        </is>
      </c>
      <c r="H17" s="2" t="inlineStr">
        <is>
          <t>5 - Rất quan tâm</t>
        </is>
      </c>
      <c r="I17" s="2" t="inlineStr">
        <is>
          <t>5 - Rất quan tâm</t>
        </is>
      </c>
      <c r="J17" s="2" t="inlineStr">
        <is>
          <t>5 - Rất quan tâm</t>
        </is>
      </c>
      <c r="K17" s="2" t="inlineStr">
        <is>
          <t>5 - Rất quan tâm</t>
        </is>
      </c>
      <c r="L17" s="2" t="inlineStr">
        <is>
          <t>5 - Rất quan tâm</t>
        </is>
      </c>
      <c r="M17" s="2" t="inlineStr">
        <is>
          <t>5 - Rất quan tâm</t>
        </is>
      </c>
      <c r="N17" s="2" t="inlineStr"/>
      <c r="O17" s="2" t="inlineStr"/>
      <c r="P17" s="2" t="inlineStr"/>
      <c r="Q17" s="2" t="inlineStr"/>
      <c r="R17" s="2" t="inlineStr"/>
      <c r="S17" s="2" t="inlineStr"/>
      <c r="T17" s="2" t="inlineStr"/>
      <c r="U17" s="2" t="inlineStr"/>
      <c r="V17" s="2" t="inlineStr"/>
      <c r="W17" s="2" t="inlineStr">
        <is>
          <t>Có – định hướng học tập &amp; kỹ năng mềm</t>
        </is>
      </c>
      <c r="X17" s="2" t="inlineStr"/>
      <c r="Y17" s="2" t="inlineStr"/>
      <c r="Z17" s="2" t="inlineStr"/>
      <c r="AA17" s="2" t="inlineStr">
        <is>
          <t>Không biết</t>
        </is>
      </c>
      <c r="AB17" s="2">
        <f>IFERROR(VALUE(LEFT(F17,1)),"")</f>
        <v/>
      </c>
      <c r="AC17" s="2">
        <f>IFERROR(VALUE(LEFT(G17,1)),"")</f>
        <v/>
      </c>
      <c r="AD17" s="2">
        <f>IFERROR(VALUE(LEFT(H17,1)),"")</f>
        <v/>
      </c>
      <c r="AE17" s="2">
        <f>IFERROR(VALUE(LEFT(I17,1)),"")</f>
        <v/>
      </c>
      <c r="AF17" s="2">
        <f>IFERROR(VALUE(LEFT(J17,1)),"")</f>
        <v/>
      </c>
      <c r="AG17" s="2">
        <f>IFERROR(VALUE(LEFT(K17,1)),"")</f>
        <v/>
      </c>
      <c r="AH17" s="2">
        <f>IFERROR(VALUE(LEFT(L17,1)),"")</f>
        <v/>
      </c>
      <c r="AI17" s="2">
        <f>IFERROR(VALUE(LEFT(M17,1)),"")</f>
        <v/>
      </c>
      <c r="AJ17" s="2">
        <f>IFERROR(VALUE(LEFT(N17,1)),"")</f>
        <v/>
      </c>
      <c r="AK17" s="2">
        <f>IFERROR(VALUE(LEFT(O17,1)),"")</f>
        <v/>
      </c>
      <c r="AL17" s="2">
        <f>IFERROR(VALUE(LEFT(P17,1)),"")</f>
        <v/>
      </c>
      <c r="AM17" s="2">
        <f>IFERROR(VALUE(LEFT(Q17,1)),"")</f>
        <v/>
      </c>
      <c r="AN17" s="2">
        <f>IFERROR(VALUE(LEFT(R17,1)),"")</f>
        <v/>
      </c>
      <c r="AO17" s="2">
        <f>IFERROR(VALUE(LEFT(S17,1)),"")</f>
        <v/>
      </c>
      <c r="AP17" s="2">
        <f>IFERROR(VALUE(LEFT(T17,1)),"")</f>
        <v/>
      </c>
      <c r="AQ17" s="2">
        <f>IFERROR(VALUE(LEFT(U17,1)),"")</f>
        <v/>
      </c>
    </row>
    <row r="18">
      <c r="A18" s="2" t="n">
        <v>17</v>
      </c>
      <c r="B18" s="2" t="inlineStr">
        <is>
          <t>Trường Đại học thuộc ĐHQG</t>
        </is>
      </c>
      <c r="C18" s="2" t="inlineStr">
        <is>
          <t>Sinh viên năm 1-2/ Tân sinh viên</t>
        </is>
      </c>
      <c r="D18" s="2" t="inlineStr"/>
      <c r="E18" s="2" t="inlineStr"/>
      <c r="F18" s="2" t="inlineStr">
        <is>
          <t>5 - Rất quan tâm</t>
        </is>
      </c>
      <c r="G18" s="2" t="inlineStr">
        <is>
          <t>5 - Rất quan tâm</t>
        </is>
      </c>
      <c r="H18" s="2" t="inlineStr">
        <is>
          <t>5 - Rất quan tâm</t>
        </is>
      </c>
      <c r="I18" s="2" t="inlineStr">
        <is>
          <t>5 - Rất quan tâm</t>
        </is>
      </c>
      <c r="J18" s="2" t="inlineStr">
        <is>
          <t>4 - Khá quan tâm</t>
        </is>
      </c>
      <c r="K18" s="2" t="inlineStr">
        <is>
          <t>5 - Rất quan tâm</t>
        </is>
      </c>
      <c r="L18" s="2" t="inlineStr">
        <is>
          <t>5 - Rất quan tâm</t>
        </is>
      </c>
      <c r="M18" s="2" t="inlineStr">
        <is>
          <t>5 - Rất quan tâm</t>
        </is>
      </c>
      <c r="N18" s="2" t="inlineStr"/>
      <c r="O18" s="2" t="inlineStr"/>
      <c r="P18" s="2" t="inlineStr"/>
      <c r="Q18" s="2" t="inlineStr"/>
      <c r="R18" s="2" t="inlineStr"/>
      <c r="S18" s="2" t="inlineStr"/>
      <c r="T18" s="2" t="inlineStr"/>
      <c r="U18" s="2" t="inlineStr"/>
      <c r="V18" s="2" t="inlineStr"/>
      <c r="W18" s="2" t="inlineStr">
        <is>
          <t>Có nhưng chưa biết bắt đầu</t>
        </is>
      </c>
      <c r="X18" s="2" t="inlineStr"/>
      <c r="Y18" s="2" t="inlineStr"/>
      <c r="Z18" s="2" t="inlineStr"/>
      <c r="AA18" s="2" t="inlineStr">
        <is>
          <t>Em chưa tìm hiểu về web này nên em không biết nữa</t>
        </is>
      </c>
      <c r="AB18" s="2">
        <f>IFERROR(VALUE(LEFT(F18,1)),"")</f>
        <v/>
      </c>
      <c r="AC18" s="2">
        <f>IFERROR(VALUE(LEFT(G18,1)),"")</f>
        <v/>
      </c>
      <c r="AD18" s="2">
        <f>IFERROR(VALUE(LEFT(H18,1)),"")</f>
        <v/>
      </c>
      <c r="AE18" s="2">
        <f>IFERROR(VALUE(LEFT(I18,1)),"")</f>
        <v/>
      </c>
      <c r="AF18" s="2">
        <f>IFERROR(VALUE(LEFT(J18,1)),"")</f>
        <v/>
      </c>
      <c r="AG18" s="2">
        <f>IFERROR(VALUE(LEFT(K18,1)),"")</f>
        <v/>
      </c>
      <c r="AH18" s="2">
        <f>IFERROR(VALUE(LEFT(L18,1)),"")</f>
        <v/>
      </c>
      <c r="AI18" s="2">
        <f>IFERROR(VALUE(LEFT(M18,1)),"")</f>
        <v/>
      </c>
      <c r="AJ18" s="2">
        <f>IFERROR(VALUE(LEFT(N18,1)),"")</f>
        <v/>
      </c>
      <c r="AK18" s="2">
        <f>IFERROR(VALUE(LEFT(O18,1)),"")</f>
        <v/>
      </c>
      <c r="AL18" s="2">
        <f>IFERROR(VALUE(LEFT(P18,1)),"")</f>
        <v/>
      </c>
      <c r="AM18" s="2">
        <f>IFERROR(VALUE(LEFT(Q18,1)),"")</f>
        <v/>
      </c>
      <c r="AN18" s="2">
        <f>IFERROR(VALUE(LEFT(R18,1)),"")</f>
        <v/>
      </c>
      <c r="AO18" s="2">
        <f>IFERROR(VALUE(LEFT(S18,1)),"")</f>
        <v/>
      </c>
      <c r="AP18" s="2">
        <f>IFERROR(VALUE(LEFT(T18,1)),"")</f>
        <v/>
      </c>
      <c r="AQ18" s="2">
        <f>IFERROR(VALUE(LEFT(U18,1)),"")</f>
        <v/>
      </c>
    </row>
    <row r="19">
      <c r="A19" s="2" t="n">
        <v>18</v>
      </c>
      <c r="B19" s="2" t="inlineStr">
        <is>
          <t>Trường Đại học thuộc ĐHQG</t>
        </is>
      </c>
      <c r="C19" s="2" t="inlineStr">
        <is>
          <t>Sinh viên năm 1-2/ Tân sinh viên</t>
        </is>
      </c>
      <c r="D19" s="2" t="inlineStr"/>
      <c r="E19" s="2" t="inlineStr"/>
      <c r="F19" s="2" t="inlineStr">
        <is>
          <t>4 - Khá quan tâm</t>
        </is>
      </c>
      <c r="G19" s="2" t="inlineStr">
        <is>
          <t>4 - Khá quan tâm</t>
        </is>
      </c>
      <c r="H19" s="2" t="inlineStr">
        <is>
          <t>3 - Bình thường</t>
        </is>
      </c>
      <c r="I19" s="2" t="inlineStr">
        <is>
          <t>3 - Bình thường</t>
        </is>
      </c>
      <c r="J19" s="2" t="inlineStr">
        <is>
          <t>4 - Khá quan tâm</t>
        </is>
      </c>
      <c r="K19" s="2" t="inlineStr">
        <is>
          <t>4 - Khá quan tâm</t>
        </is>
      </c>
      <c r="L19" s="2" t="inlineStr">
        <is>
          <t>3 - Bình thường</t>
        </is>
      </c>
      <c r="M19" s="2" t="inlineStr">
        <is>
          <t>3 - Bình thường</t>
        </is>
      </c>
      <c r="N19" s="2" t="inlineStr"/>
      <c r="O19" s="2" t="inlineStr"/>
      <c r="P19" s="2" t="inlineStr"/>
      <c r="Q19" s="2" t="inlineStr"/>
      <c r="R19" s="2" t="inlineStr"/>
      <c r="S19" s="2" t="inlineStr"/>
      <c r="T19" s="2" t="inlineStr"/>
      <c r="U19" s="2" t="inlineStr"/>
      <c r="V19" s="2" t="inlineStr"/>
      <c r="W19" s="2" t="inlineStr">
        <is>
          <t>Có nhưng chưa biết bắt đầu</t>
        </is>
      </c>
      <c r="X19" s="2" t="inlineStr"/>
      <c r="Y19" s="2" t="inlineStr"/>
      <c r="Z19" s="2" t="inlineStr"/>
      <c r="AA19" s="2" t="inlineStr">
        <is>
          <t>Dạ ngoài những tính năng AlumVerse đã nhắc thì em chưa nghĩ thấy cần thêm gì tốt hơn nữa ạ</t>
        </is>
      </c>
      <c r="AB19" s="2">
        <f>IFERROR(VALUE(LEFT(F19,1)),"")</f>
        <v/>
      </c>
      <c r="AC19" s="2">
        <f>IFERROR(VALUE(LEFT(G19,1)),"")</f>
        <v/>
      </c>
      <c r="AD19" s="2">
        <f>IFERROR(VALUE(LEFT(H19,1)),"")</f>
        <v/>
      </c>
      <c r="AE19" s="2">
        <f>IFERROR(VALUE(LEFT(I19,1)),"")</f>
        <v/>
      </c>
      <c r="AF19" s="2">
        <f>IFERROR(VALUE(LEFT(J19,1)),"")</f>
        <v/>
      </c>
      <c r="AG19" s="2">
        <f>IFERROR(VALUE(LEFT(K19,1)),"")</f>
        <v/>
      </c>
      <c r="AH19" s="2">
        <f>IFERROR(VALUE(LEFT(L19,1)),"")</f>
        <v/>
      </c>
      <c r="AI19" s="2">
        <f>IFERROR(VALUE(LEFT(M19,1)),"")</f>
        <v/>
      </c>
      <c r="AJ19" s="2">
        <f>IFERROR(VALUE(LEFT(N19,1)),"")</f>
        <v/>
      </c>
      <c r="AK19" s="2">
        <f>IFERROR(VALUE(LEFT(O19,1)),"")</f>
        <v/>
      </c>
      <c r="AL19" s="2">
        <f>IFERROR(VALUE(LEFT(P19,1)),"")</f>
        <v/>
      </c>
      <c r="AM19" s="2">
        <f>IFERROR(VALUE(LEFT(Q19,1)),"")</f>
        <v/>
      </c>
      <c r="AN19" s="2">
        <f>IFERROR(VALUE(LEFT(R19,1)),"")</f>
        <v/>
      </c>
      <c r="AO19" s="2">
        <f>IFERROR(VALUE(LEFT(S19,1)),"")</f>
        <v/>
      </c>
      <c r="AP19" s="2">
        <f>IFERROR(VALUE(LEFT(T19,1)),"")</f>
        <v/>
      </c>
      <c r="AQ19" s="2">
        <f>IFERROR(VALUE(LEFT(U19,1)),"")</f>
        <v/>
      </c>
    </row>
    <row r="20">
      <c r="A20" s="2" t="n">
        <v>19</v>
      </c>
      <c r="B20" s="2" t="inlineStr">
        <is>
          <t>Trường Đại học thuộc ĐHQG</t>
        </is>
      </c>
      <c r="C20" s="2" t="inlineStr">
        <is>
          <t>Sinh viên năm 3-4</t>
        </is>
      </c>
      <c r="D20" s="2" t="inlineStr"/>
      <c r="E20" s="2" t="inlineStr"/>
      <c r="F20" s="2" t="inlineStr">
        <is>
          <t>3 - Bình thường</t>
        </is>
      </c>
      <c r="G20" s="2" t="inlineStr">
        <is>
          <t>5 - Rất quan tâm</t>
        </is>
      </c>
      <c r="H20" s="2" t="inlineStr">
        <is>
          <t>5 - Rất quan tâm</t>
        </is>
      </c>
      <c r="I20" s="2" t="inlineStr">
        <is>
          <t>5 - Rất quan tâm</t>
        </is>
      </c>
      <c r="J20" s="2" t="inlineStr">
        <is>
          <t>5 - Rất quan tâm</t>
        </is>
      </c>
      <c r="K20" s="2" t="inlineStr">
        <is>
          <t>5 - Rất quan tâm</t>
        </is>
      </c>
      <c r="L20" s="2" t="inlineStr">
        <is>
          <t>5 - Rất quan tâm</t>
        </is>
      </c>
      <c r="M20" s="2" t="inlineStr">
        <is>
          <t>5 - Rất quan tâm</t>
        </is>
      </c>
      <c r="N20" s="2" t="inlineStr"/>
      <c r="O20" s="2" t="inlineStr"/>
      <c r="P20" s="2" t="inlineStr"/>
      <c r="Q20" s="2" t="inlineStr"/>
      <c r="R20" s="2" t="inlineStr"/>
      <c r="S20" s="2" t="inlineStr"/>
      <c r="T20" s="2" t="inlineStr"/>
      <c r="U20" s="2" t="inlineStr"/>
      <c r="V20" s="2" t="inlineStr"/>
      <c r="W20" s="2" t="inlineStr">
        <is>
          <t>Có nhưng chỉ ngắn hạn (1–2 tháng)</t>
        </is>
      </c>
      <c r="X20" s="2" t="inlineStr">
        <is>
          <t>Đi làm</t>
        </is>
      </c>
      <c r="Y20" s="2" t="inlineStr"/>
      <c r="Z20" s="2" t="inlineStr">
        <is>
          <t>Có thể</t>
        </is>
      </c>
      <c r="AA20" s="2" t="inlineStr">
        <is>
          <t>Mình chưa nghĩ ra.</t>
        </is>
      </c>
      <c r="AB20" s="2">
        <f>IFERROR(VALUE(LEFT(F20,1)),"")</f>
        <v/>
      </c>
      <c r="AC20" s="2">
        <f>IFERROR(VALUE(LEFT(G20,1)),"")</f>
        <v/>
      </c>
      <c r="AD20" s="2">
        <f>IFERROR(VALUE(LEFT(H20,1)),"")</f>
        <v/>
      </c>
      <c r="AE20" s="2">
        <f>IFERROR(VALUE(LEFT(I20,1)),"")</f>
        <v/>
      </c>
      <c r="AF20" s="2">
        <f>IFERROR(VALUE(LEFT(J20,1)),"")</f>
        <v/>
      </c>
      <c r="AG20" s="2">
        <f>IFERROR(VALUE(LEFT(K20,1)),"")</f>
        <v/>
      </c>
      <c r="AH20" s="2">
        <f>IFERROR(VALUE(LEFT(L20,1)),"")</f>
        <v/>
      </c>
      <c r="AI20" s="2">
        <f>IFERROR(VALUE(LEFT(M20,1)),"")</f>
        <v/>
      </c>
      <c r="AJ20" s="2">
        <f>IFERROR(VALUE(LEFT(N20,1)),"")</f>
        <v/>
      </c>
      <c r="AK20" s="2">
        <f>IFERROR(VALUE(LEFT(O20,1)),"")</f>
        <v/>
      </c>
      <c r="AL20" s="2">
        <f>IFERROR(VALUE(LEFT(P20,1)),"")</f>
        <v/>
      </c>
      <c r="AM20" s="2">
        <f>IFERROR(VALUE(LEFT(Q20,1)),"")</f>
        <v/>
      </c>
      <c r="AN20" s="2">
        <f>IFERROR(VALUE(LEFT(R20,1)),"")</f>
        <v/>
      </c>
      <c r="AO20" s="2">
        <f>IFERROR(VALUE(LEFT(S20,1)),"")</f>
        <v/>
      </c>
      <c r="AP20" s="2">
        <f>IFERROR(VALUE(LEFT(T20,1)),"")</f>
        <v/>
      </c>
      <c r="AQ20" s="2">
        <f>IFERROR(VALUE(LEFT(U20,1)),"")</f>
        <v/>
      </c>
    </row>
    <row r="21">
      <c r="A21" s="2" t="n">
        <v>20</v>
      </c>
      <c r="B21" s="2" t="inlineStr">
        <is>
          <t>Trường Đại học thuộc ĐHQG</t>
        </is>
      </c>
      <c r="C21" s="2" t="inlineStr">
        <is>
          <t>Sinh viên năm 3-4</t>
        </is>
      </c>
      <c r="D21" s="2" t="inlineStr"/>
      <c r="E21" s="2" t="inlineStr"/>
      <c r="F21" s="2" t="inlineStr">
        <is>
          <t>4 - Khá quan tâm</t>
        </is>
      </c>
      <c r="G21" s="2" t="inlineStr">
        <is>
          <t>4 - Khá quan tâm</t>
        </is>
      </c>
      <c r="H21" s="2" t="inlineStr">
        <is>
          <t>4 - Khá quan tâm</t>
        </is>
      </c>
      <c r="I21" s="2" t="inlineStr">
        <is>
          <t>4 - Khá quan tâm</t>
        </is>
      </c>
      <c r="J21" s="2" t="inlineStr">
        <is>
          <t>4 - Khá quan tâm</t>
        </is>
      </c>
      <c r="K21" s="2" t="inlineStr">
        <is>
          <t>5 - Rất quan tâm</t>
        </is>
      </c>
      <c r="L21" s="2" t="inlineStr">
        <is>
          <t>5 - Rất quan tâm</t>
        </is>
      </c>
      <c r="M21" s="2" t="inlineStr">
        <is>
          <t>4 - Khá quan tâm</t>
        </is>
      </c>
      <c r="N21" s="2" t="inlineStr"/>
      <c r="O21" s="2" t="inlineStr"/>
      <c r="P21" s="2" t="inlineStr"/>
      <c r="Q21" s="2" t="inlineStr"/>
      <c r="R21" s="2" t="inlineStr"/>
      <c r="S21" s="2" t="inlineStr"/>
      <c r="T21" s="2" t="inlineStr"/>
      <c r="U21" s="2" t="inlineStr"/>
      <c r="V21" s="2" t="inlineStr"/>
      <c r="W21" s="2" t="inlineStr">
        <is>
          <t>Không cần thiết</t>
        </is>
      </c>
      <c r="X21" s="2" t="inlineStr">
        <is>
          <t>Đi làm</t>
        </is>
      </c>
      <c r="Y21" s="2" t="inlineStr"/>
      <c r="Z21" s="2" t="inlineStr">
        <is>
          <t>Có thể</t>
        </is>
      </c>
      <c r="AA21" s="2" t="inlineStr">
        <is>
          <t>không | không</t>
        </is>
      </c>
      <c r="AB21" s="2">
        <f>IFERROR(VALUE(LEFT(F21,1)),"")</f>
        <v/>
      </c>
      <c r="AC21" s="2">
        <f>IFERROR(VALUE(LEFT(G21,1)),"")</f>
        <v/>
      </c>
      <c r="AD21" s="2">
        <f>IFERROR(VALUE(LEFT(H21,1)),"")</f>
        <v/>
      </c>
      <c r="AE21" s="2">
        <f>IFERROR(VALUE(LEFT(I21,1)),"")</f>
        <v/>
      </c>
      <c r="AF21" s="2">
        <f>IFERROR(VALUE(LEFT(J21,1)),"")</f>
        <v/>
      </c>
      <c r="AG21" s="2">
        <f>IFERROR(VALUE(LEFT(K21,1)),"")</f>
        <v/>
      </c>
      <c r="AH21" s="2">
        <f>IFERROR(VALUE(LEFT(L21,1)),"")</f>
        <v/>
      </c>
      <c r="AI21" s="2">
        <f>IFERROR(VALUE(LEFT(M21,1)),"")</f>
        <v/>
      </c>
      <c r="AJ21" s="2">
        <f>IFERROR(VALUE(LEFT(N21,1)),"")</f>
        <v/>
      </c>
      <c r="AK21" s="2">
        <f>IFERROR(VALUE(LEFT(O21,1)),"")</f>
        <v/>
      </c>
      <c r="AL21" s="2">
        <f>IFERROR(VALUE(LEFT(P21,1)),"")</f>
        <v/>
      </c>
      <c r="AM21" s="2">
        <f>IFERROR(VALUE(LEFT(Q21,1)),"")</f>
        <v/>
      </c>
      <c r="AN21" s="2">
        <f>IFERROR(VALUE(LEFT(R21,1)),"")</f>
        <v/>
      </c>
      <c r="AO21" s="2">
        <f>IFERROR(VALUE(LEFT(S21,1)),"")</f>
        <v/>
      </c>
      <c r="AP21" s="2">
        <f>IFERROR(VALUE(LEFT(T21,1)),"")</f>
        <v/>
      </c>
      <c r="AQ21" s="2">
        <f>IFERROR(VALUE(LEFT(U21,1)),"")</f>
        <v/>
      </c>
    </row>
    <row r="22">
      <c r="A22" s="2" t="n">
        <v>21</v>
      </c>
      <c r="B22" s="2" t="inlineStr">
        <is>
          <t>Trường Đại học thuộc ĐHQG</t>
        </is>
      </c>
      <c r="C22" s="2" t="inlineStr">
        <is>
          <t>Sinh viên năm 1-2/ Tân sinh viên</t>
        </is>
      </c>
      <c r="D22" s="2" t="inlineStr"/>
      <c r="E22" s="2" t="inlineStr"/>
      <c r="F22" s="2" t="inlineStr">
        <is>
          <t>5 - Rất quan tâm</t>
        </is>
      </c>
      <c r="G22" s="2" t="inlineStr">
        <is>
          <t>4 - Khá quan tâm</t>
        </is>
      </c>
      <c r="H22" s="2" t="inlineStr">
        <is>
          <t>4 - Khá quan tâm</t>
        </is>
      </c>
      <c r="I22" s="2" t="inlineStr">
        <is>
          <t>4 - Khá quan tâm</t>
        </is>
      </c>
      <c r="J22" s="2" t="inlineStr">
        <is>
          <t>3 - Bình thường</t>
        </is>
      </c>
      <c r="K22" s="2" t="inlineStr">
        <is>
          <t>5 - Rất quan tâm</t>
        </is>
      </c>
      <c r="L22" s="2" t="inlineStr">
        <is>
          <t>5 - Rất quan tâm</t>
        </is>
      </c>
      <c r="M22" s="2" t="inlineStr">
        <is>
          <t>3 - Bình thường</t>
        </is>
      </c>
      <c r="N22" s="2" t="inlineStr"/>
      <c r="O22" s="2" t="inlineStr"/>
      <c r="P22" s="2" t="inlineStr"/>
      <c r="Q22" s="2" t="inlineStr"/>
      <c r="R22" s="2" t="inlineStr"/>
      <c r="S22" s="2" t="inlineStr"/>
      <c r="T22" s="2" t="inlineStr"/>
      <c r="U22" s="2" t="inlineStr"/>
      <c r="V22" s="2" t="inlineStr"/>
      <c r="W22" s="2" t="inlineStr">
        <is>
          <t>Có nhưng chưa biết bắt đầu</t>
        </is>
      </c>
      <c r="X22" s="2" t="inlineStr"/>
      <c r="Y22" s="2" t="inlineStr"/>
      <c r="Z22" s="2" t="inlineStr"/>
      <c r="AA22" s="2" t="inlineStr">
        <is>
          <t>Em đề xuất nên có chức năng tổ chức cuộc họp/ lớp học như gg meet trên nền tảng này luôn, không bị giới hạn thời gian ạ</t>
        </is>
      </c>
      <c r="AB22" s="2">
        <f>IFERROR(VALUE(LEFT(F22,1)),"")</f>
        <v/>
      </c>
      <c r="AC22" s="2">
        <f>IFERROR(VALUE(LEFT(G22,1)),"")</f>
        <v/>
      </c>
      <c r="AD22" s="2">
        <f>IFERROR(VALUE(LEFT(H22,1)),"")</f>
        <v/>
      </c>
      <c r="AE22" s="2">
        <f>IFERROR(VALUE(LEFT(I22,1)),"")</f>
        <v/>
      </c>
      <c r="AF22" s="2">
        <f>IFERROR(VALUE(LEFT(J22,1)),"")</f>
        <v/>
      </c>
      <c r="AG22" s="2">
        <f>IFERROR(VALUE(LEFT(K22,1)),"")</f>
        <v/>
      </c>
      <c r="AH22" s="2">
        <f>IFERROR(VALUE(LEFT(L22,1)),"")</f>
        <v/>
      </c>
      <c r="AI22" s="2">
        <f>IFERROR(VALUE(LEFT(M22,1)),"")</f>
        <v/>
      </c>
      <c r="AJ22" s="2">
        <f>IFERROR(VALUE(LEFT(N22,1)),"")</f>
        <v/>
      </c>
      <c r="AK22" s="2">
        <f>IFERROR(VALUE(LEFT(O22,1)),"")</f>
        <v/>
      </c>
      <c r="AL22" s="2">
        <f>IFERROR(VALUE(LEFT(P22,1)),"")</f>
        <v/>
      </c>
      <c r="AM22" s="2">
        <f>IFERROR(VALUE(LEFT(Q22,1)),"")</f>
        <v/>
      </c>
      <c r="AN22" s="2">
        <f>IFERROR(VALUE(LEFT(R22,1)),"")</f>
        <v/>
      </c>
      <c r="AO22" s="2">
        <f>IFERROR(VALUE(LEFT(S22,1)),"")</f>
        <v/>
      </c>
      <c r="AP22" s="2">
        <f>IFERROR(VALUE(LEFT(T22,1)),"")</f>
        <v/>
      </c>
      <c r="AQ22" s="2">
        <f>IFERROR(VALUE(LEFT(U22,1)),"")</f>
        <v/>
      </c>
    </row>
    <row r="23">
      <c r="A23" s="2" t="n">
        <v>22</v>
      </c>
      <c r="B23" s="2" t="inlineStr">
        <is>
          <t>Trường Đại học thuộc ĐHQG</t>
        </is>
      </c>
      <c r="C23" s="2" t="inlineStr">
        <is>
          <t>Sinh viên năm 1-2/ Tân sinh viên</t>
        </is>
      </c>
      <c r="D23" s="2" t="inlineStr"/>
      <c r="E23" s="2" t="inlineStr"/>
      <c r="F23" s="2" t="inlineStr">
        <is>
          <t>1 - Hoàn toàn không quan tâm</t>
        </is>
      </c>
      <c r="G23" s="2" t="inlineStr">
        <is>
          <t>2 - Ít quan tâm</t>
        </is>
      </c>
      <c r="H23" s="2" t="inlineStr">
        <is>
          <t>2 - Ít quan tâm</t>
        </is>
      </c>
      <c r="I23" s="2" t="inlineStr">
        <is>
          <t>3 - Bình thường</t>
        </is>
      </c>
      <c r="J23" s="2" t="inlineStr">
        <is>
          <t>1 - Hoàn toàn không quan tâm</t>
        </is>
      </c>
      <c r="K23" s="2" t="inlineStr">
        <is>
          <t>1 - Hoàn toàn không quan tâm</t>
        </is>
      </c>
      <c r="L23" s="2" t="inlineStr">
        <is>
          <t>1 - Hoàn toàn không quan tâm</t>
        </is>
      </c>
      <c r="M23" s="2" t="inlineStr">
        <is>
          <t>2 - Ít quan tâm</t>
        </is>
      </c>
      <c r="N23" s="2" t="inlineStr"/>
      <c r="O23" s="2" t="inlineStr"/>
      <c r="P23" s="2" t="inlineStr"/>
      <c r="Q23" s="2" t="inlineStr"/>
      <c r="R23" s="2" t="inlineStr"/>
      <c r="S23" s="2" t="inlineStr"/>
      <c r="T23" s="2" t="inlineStr"/>
      <c r="U23" s="2" t="inlineStr"/>
      <c r="V23" s="2" t="inlineStr"/>
      <c r="W23" s="2" t="inlineStr">
        <is>
          <t>Có nhưng chưa biết bắt đầu</t>
        </is>
      </c>
      <c r="X23" s="2" t="inlineStr"/>
      <c r="Y23" s="2" t="inlineStr"/>
      <c r="Z23" s="2" t="inlineStr"/>
      <c r="AA23" s="2" t="inlineStr">
        <is>
          <t>Em chưa nghĩ ra</t>
        </is>
      </c>
      <c r="AB23" s="2">
        <f>IFERROR(VALUE(LEFT(F23,1)),"")</f>
        <v/>
      </c>
      <c r="AC23" s="2">
        <f>IFERROR(VALUE(LEFT(G23,1)),"")</f>
        <v/>
      </c>
      <c r="AD23" s="2">
        <f>IFERROR(VALUE(LEFT(H23,1)),"")</f>
        <v/>
      </c>
      <c r="AE23" s="2">
        <f>IFERROR(VALUE(LEFT(I23,1)),"")</f>
        <v/>
      </c>
      <c r="AF23" s="2">
        <f>IFERROR(VALUE(LEFT(J23,1)),"")</f>
        <v/>
      </c>
      <c r="AG23" s="2">
        <f>IFERROR(VALUE(LEFT(K23,1)),"")</f>
        <v/>
      </c>
      <c r="AH23" s="2">
        <f>IFERROR(VALUE(LEFT(L23,1)),"")</f>
        <v/>
      </c>
      <c r="AI23" s="2">
        <f>IFERROR(VALUE(LEFT(M23,1)),"")</f>
        <v/>
      </c>
      <c r="AJ23" s="2">
        <f>IFERROR(VALUE(LEFT(N23,1)),"")</f>
        <v/>
      </c>
      <c r="AK23" s="2">
        <f>IFERROR(VALUE(LEFT(O23,1)),"")</f>
        <v/>
      </c>
      <c r="AL23" s="2">
        <f>IFERROR(VALUE(LEFT(P23,1)),"")</f>
        <v/>
      </c>
      <c r="AM23" s="2">
        <f>IFERROR(VALUE(LEFT(Q23,1)),"")</f>
        <v/>
      </c>
      <c r="AN23" s="2">
        <f>IFERROR(VALUE(LEFT(R23,1)),"")</f>
        <v/>
      </c>
      <c r="AO23" s="2">
        <f>IFERROR(VALUE(LEFT(S23,1)),"")</f>
        <v/>
      </c>
      <c r="AP23" s="2">
        <f>IFERROR(VALUE(LEFT(T23,1)),"")</f>
        <v/>
      </c>
      <c r="AQ23" s="2">
        <f>IFERROR(VALUE(LEFT(U23,1)),"")</f>
        <v/>
      </c>
    </row>
    <row r="24">
      <c r="A24" s="2" t="n">
        <v>23</v>
      </c>
      <c r="B24" s="2" t="inlineStr">
        <is>
          <t>Trường Đại học thuộc ĐHQG</t>
        </is>
      </c>
      <c r="C24" s="2" t="inlineStr">
        <is>
          <t>Sinh viên năm 3-4</t>
        </is>
      </c>
      <c r="D24" s="2" t="inlineStr"/>
      <c r="E24" s="2" t="inlineStr"/>
      <c r="F24" s="2" t="inlineStr">
        <is>
          <t>3 - Bình thường</t>
        </is>
      </c>
      <c r="G24" s="2" t="inlineStr">
        <is>
          <t>3 - Bình thường</t>
        </is>
      </c>
      <c r="H24" s="2" t="inlineStr">
        <is>
          <t>3 - Bình thường</t>
        </is>
      </c>
      <c r="I24" s="2" t="inlineStr">
        <is>
          <t>3 - Bình thường</t>
        </is>
      </c>
      <c r="J24" s="2" t="inlineStr">
        <is>
          <t>3 - Bình thường</t>
        </is>
      </c>
      <c r="K24" s="2" t="inlineStr">
        <is>
          <t>3 - Bình thường</t>
        </is>
      </c>
      <c r="L24" s="2" t="inlineStr">
        <is>
          <t>3 - Bình thường</t>
        </is>
      </c>
      <c r="M24" s="2" t="inlineStr">
        <is>
          <t>3 - Bình thường</t>
        </is>
      </c>
      <c r="N24" s="2" t="inlineStr"/>
      <c r="O24" s="2" t="inlineStr"/>
      <c r="P24" s="2" t="inlineStr"/>
      <c r="Q24" s="2" t="inlineStr"/>
      <c r="R24" s="2" t="inlineStr"/>
      <c r="S24" s="2" t="inlineStr"/>
      <c r="T24" s="2" t="inlineStr"/>
      <c r="U24" s="2" t="inlineStr"/>
      <c r="V24" s="2" t="inlineStr"/>
      <c r="W24" s="2" t="inlineStr">
        <is>
          <t>Có nhưng chỉ ngắn hạn (1–2 tháng)</t>
        </is>
      </c>
      <c r="X24" s="2" t="inlineStr">
        <is>
          <t>Đi làm</t>
        </is>
      </c>
      <c r="Y24" s="2" t="inlineStr"/>
      <c r="Z24" s="2" t="inlineStr"/>
      <c r="AA24" s="2" t="inlineStr">
        <is>
          <t>- build portfolio
- roadmap cá nhân hoá</t>
        </is>
      </c>
      <c r="AB24" s="2">
        <f>IFERROR(VALUE(LEFT(F24,1)),"")</f>
        <v/>
      </c>
      <c r="AC24" s="2">
        <f>IFERROR(VALUE(LEFT(G24,1)),"")</f>
        <v/>
      </c>
      <c r="AD24" s="2">
        <f>IFERROR(VALUE(LEFT(H24,1)),"")</f>
        <v/>
      </c>
      <c r="AE24" s="2">
        <f>IFERROR(VALUE(LEFT(I24,1)),"")</f>
        <v/>
      </c>
      <c r="AF24" s="2">
        <f>IFERROR(VALUE(LEFT(J24,1)),"")</f>
        <v/>
      </c>
      <c r="AG24" s="2">
        <f>IFERROR(VALUE(LEFT(K24,1)),"")</f>
        <v/>
      </c>
      <c r="AH24" s="2">
        <f>IFERROR(VALUE(LEFT(L24,1)),"")</f>
        <v/>
      </c>
      <c r="AI24" s="2">
        <f>IFERROR(VALUE(LEFT(M24,1)),"")</f>
        <v/>
      </c>
      <c r="AJ24" s="2">
        <f>IFERROR(VALUE(LEFT(N24,1)),"")</f>
        <v/>
      </c>
      <c r="AK24" s="2">
        <f>IFERROR(VALUE(LEFT(O24,1)),"")</f>
        <v/>
      </c>
      <c r="AL24" s="2">
        <f>IFERROR(VALUE(LEFT(P24,1)),"")</f>
        <v/>
      </c>
      <c r="AM24" s="2">
        <f>IFERROR(VALUE(LEFT(Q24,1)),"")</f>
        <v/>
      </c>
      <c r="AN24" s="2">
        <f>IFERROR(VALUE(LEFT(R24,1)),"")</f>
        <v/>
      </c>
      <c r="AO24" s="2">
        <f>IFERROR(VALUE(LEFT(S24,1)),"")</f>
        <v/>
      </c>
      <c r="AP24" s="2">
        <f>IFERROR(VALUE(LEFT(T24,1)),"")</f>
        <v/>
      </c>
      <c r="AQ24" s="2">
        <f>IFERROR(VALUE(LEFT(U24,1)),"")</f>
        <v/>
      </c>
    </row>
    <row r="25">
      <c r="A25" s="2" t="n">
        <v>24</v>
      </c>
      <c r="B25" s="2" t="inlineStr">
        <is>
          <t>Trường Đại học thuộc ĐHQG</t>
        </is>
      </c>
      <c r="C25" s="2" t="inlineStr">
        <is>
          <t>Sinh viên năm 1-2/ Tân sinh viên</t>
        </is>
      </c>
      <c r="D25" s="2" t="inlineStr"/>
      <c r="E25" s="2" t="inlineStr"/>
      <c r="F25" s="2" t="inlineStr">
        <is>
          <t>4 - Khá quan tâm</t>
        </is>
      </c>
      <c r="G25" s="2" t="inlineStr">
        <is>
          <t>4 - Khá quan tâm</t>
        </is>
      </c>
      <c r="H25" s="2" t="inlineStr">
        <is>
          <t>4 - Khá quan tâm</t>
        </is>
      </c>
      <c r="I25" s="2" t="inlineStr">
        <is>
          <t>4 - Khá quan tâm</t>
        </is>
      </c>
      <c r="J25" s="2" t="inlineStr">
        <is>
          <t>4 - Khá quan tâm</t>
        </is>
      </c>
      <c r="K25" s="2" t="inlineStr">
        <is>
          <t>4 - Khá quan tâm</t>
        </is>
      </c>
      <c r="L25" s="2" t="inlineStr">
        <is>
          <t>4 - Khá quan tâm</t>
        </is>
      </c>
      <c r="M25" s="2" t="inlineStr">
        <is>
          <t>4 - Khá quan tâm</t>
        </is>
      </c>
      <c r="N25" s="2" t="inlineStr"/>
      <c r="O25" s="2" t="inlineStr"/>
      <c r="P25" s="2" t="inlineStr"/>
      <c r="Q25" s="2" t="inlineStr"/>
      <c r="R25" s="2" t="inlineStr"/>
      <c r="S25" s="2" t="inlineStr"/>
      <c r="T25" s="2" t="inlineStr"/>
      <c r="U25" s="2" t="inlineStr"/>
      <c r="V25" s="2" t="inlineStr"/>
      <c r="W25" s="2" t="inlineStr">
        <is>
          <t>Có – định hướng học tập &amp; kỹ năng mềm</t>
        </is>
      </c>
      <c r="X25" s="2" t="inlineStr"/>
      <c r="Y25" s="2" t="inlineStr"/>
      <c r="Z25" s="2" t="inlineStr"/>
      <c r="AA25" s="2" t="inlineStr"/>
      <c r="AB25" s="2">
        <f>IFERROR(VALUE(LEFT(F25,1)),"")</f>
        <v/>
      </c>
      <c r="AC25" s="2">
        <f>IFERROR(VALUE(LEFT(G25,1)),"")</f>
        <v/>
      </c>
      <c r="AD25" s="2">
        <f>IFERROR(VALUE(LEFT(H25,1)),"")</f>
        <v/>
      </c>
      <c r="AE25" s="2">
        <f>IFERROR(VALUE(LEFT(I25,1)),"")</f>
        <v/>
      </c>
      <c r="AF25" s="2">
        <f>IFERROR(VALUE(LEFT(J25,1)),"")</f>
        <v/>
      </c>
      <c r="AG25" s="2">
        <f>IFERROR(VALUE(LEFT(K25,1)),"")</f>
        <v/>
      </c>
      <c r="AH25" s="2">
        <f>IFERROR(VALUE(LEFT(L25,1)),"")</f>
        <v/>
      </c>
      <c r="AI25" s="2">
        <f>IFERROR(VALUE(LEFT(M25,1)),"")</f>
        <v/>
      </c>
      <c r="AJ25" s="2">
        <f>IFERROR(VALUE(LEFT(N25,1)),"")</f>
        <v/>
      </c>
      <c r="AK25" s="2">
        <f>IFERROR(VALUE(LEFT(O25,1)),"")</f>
        <v/>
      </c>
      <c r="AL25" s="2">
        <f>IFERROR(VALUE(LEFT(P25,1)),"")</f>
        <v/>
      </c>
      <c r="AM25" s="2">
        <f>IFERROR(VALUE(LEFT(Q25,1)),"")</f>
        <v/>
      </c>
      <c r="AN25" s="2">
        <f>IFERROR(VALUE(LEFT(R25,1)),"")</f>
        <v/>
      </c>
      <c r="AO25" s="2">
        <f>IFERROR(VALUE(LEFT(S25,1)),"")</f>
        <v/>
      </c>
      <c r="AP25" s="2">
        <f>IFERROR(VALUE(LEFT(T25,1)),"")</f>
        <v/>
      </c>
      <c r="AQ25" s="2">
        <f>IFERROR(VALUE(LEFT(U25,1)),"")</f>
        <v/>
      </c>
    </row>
    <row r="26">
      <c r="A26" s="2" t="n">
        <v>25</v>
      </c>
      <c r="B26" s="2" t="inlineStr">
        <is>
          <t>Trường Đại học ở nước ngoài</t>
        </is>
      </c>
      <c r="C26" s="2" t="inlineStr">
        <is>
          <t>Sinh viên năm 1-2/ Tân sinh viên</t>
        </is>
      </c>
      <c r="D26" s="2" t="inlineStr"/>
      <c r="E26" s="2" t="inlineStr"/>
      <c r="F26" s="2" t="inlineStr">
        <is>
          <t>3 - Bình thường</t>
        </is>
      </c>
      <c r="G26" s="2" t="inlineStr">
        <is>
          <t>3 - Bình thường</t>
        </is>
      </c>
      <c r="H26" s="2" t="inlineStr">
        <is>
          <t>3 - Bình thường</t>
        </is>
      </c>
      <c r="I26" s="2" t="inlineStr">
        <is>
          <t>3 - Bình thường</t>
        </is>
      </c>
      <c r="J26" s="2" t="inlineStr">
        <is>
          <t>3 - Bình thường</t>
        </is>
      </c>
      <c r="K26" s="2" t="inlineStr">
        <is>
          <t>3 - Bình thường</t>
        </is>
      </c>
      <c r="L26" s="2" t="inlineStr">
        <is>
          <t>3 - Bình thường</t>
        </is>
      </c>
      <c r="M26" s="2" t="inlineStr">
        <is>
          <t>3 - Bình thường</t>
        </is>
      </c>
      <c r="N26" s="2" t="inlineStr"/>
      <c r="O26" s="2" t="inlineStr"/>
      <c r="P26" s="2" t="inlineStr"/>
      <c r="Q26" s="2" t="inlineStr"/>
      <c r="R26" s="2" t="inlineStr"/>
      <c r="S26" s="2" t="inlineStr"/>
      <c r="T26" s="2" t="inlineStr"/>
      <c r="U26" s="2" t="inlineStr"/>
      <c r="V26" s="2" t="inlineStr"/>
      <c r="W26" s="2" t="inlineStr">
        <is>
          <t>Có nhưng chưa biết bắt đầu</t>
        </is>
      </c>
      <c r="X26" s="2" t="inlineStr"/>
      <c r="Y26" s="2" t="inlineStr"/>
      <c r="Z26" s="2" t="inlineStr"/>
      <c r="AA26" s="2" t="inlineStr">
        <is>
          <t>không</t>
        </is>
      </c>
      <c r="AB26" s="2">
        <f>IFERROR(VALUE(LEFT(F26,1)),"")</f>
        <v/>
      </c>
      <c r="AC26" s="2">
        <f>IFERROR(VALUE(LEFT(G26,1)),"")</f>
        <v/>
      </c>
      <c r="AD26" s="2">
        <f>IFERROR(VALUE(LEFT(H26,1)),"")</f>
        <v/>
      </c>
      <c r="AE26" s="2">
        <f>IFERROR(VALUE(LEFT(I26,1)),"")</f>
        <v/>
      </c>
      <c r="AF26" s="2">
        <f>IFERROR(VALUE(LEFT(J26,1)),"")</f>
        <v/>
      </c>
      <c r="AG26" s="2">
        <f>IFERROR(VALUE(LEFT(K26,1)),"")</f>
        <v/>
      </c>
      <c r="AH26" s="2">
        <f>IFERROR(VALUE(LEFT(L26,1)),"")</f>
        <v/>
      </c>
      <c r="AI26" s="2">
        <f>IFERROR(VALUE(LEFT(M26,1)),"")</f>
        <v/>
      </c>
      <c r="AJ26" s="2">
        <f>IFERROR(VALUE(LEFT(N26,1)),"")</f>
        <v/>
      </c>
      <c r="AK26" s="2">
        <f>IFERROR(VALUE(LEFT(O26,1)),"")</f>
        <v/>
      </c>
      <c r="AL26" s="2">
        <f>IFERROR(VALUE(LEFT(P26,1)),"")</f>
        <v/>
      </c>
      <c r="AM26" s="2">
        <f>IFERROR(VALUE(LEFT(Q26,1)),"")</f>
        <v/>
      </c>
      <c r="AN26" s="2">
        <f>IFERROR(VALUE(LEFT(R26,1)),"")</f>
        <v/>
      </c>
      <c r="AO26" s="2">
        <f>IFERROR(VALUE(LEFT(S26,1)),"")</f>
        <v/>
      </c>
      <c r="AP26" s="2">
        <f>IFERROR(VALUE(LEFT(T26,1)),"")</f>
        <v/>
      </c>
      <c r="AQ26" s="2">
        <f>IFERROR(VALUE(LEFT(U26,1)),"")</f>
        <v/>
      </c>
    </row>
    <row r="27">
      <c r="A27" s="2" t="n">
        <v>26</v>
      </c>
      <c r="B27" s="2" t="inlineStr">
        <is>
          <t>Trường Đại học thuộc ĐHQG</t>
        </is>
      </c>
      <c r="C27" s="2" t="inlineStr">
        <is>
          <t>Sinh viên năm 3-4</t>
        </is>
      </c>
      <c r="D27" s="2" t="inlineStr"/>
      <c r="E27" s="2" t="inlineStr"/>
      <c r="F27" s="2" t="inlineStr">
        <is>
          <t>3 - Bình thường</t>
        </is>
      </c>
      <c r="G27" s="2" t="inlineStr">
        <is>
          <t>5 - Rất quan tâm</t>
        </is>
      </c>
      <c r="H27" s="2" t="inlineStr">
        <is>
          <t>3 - Bình thường</t>
        </is>
      </c>
      <c r="I27" s="2" t="inlineStr">
        <is>
          <t>5 - Rất quan tâm</t>
        </is>
      </c>
      <c r="J27" s="2" t="inlineStr">
        <is>
          <t>3 - Bình thường</t>
        </is>
      </c>
      <c r="K27" s="2" t="inlineStr">
        <is>
          <t>5 - Rất quan tâm</t>
        </is>
      </c>
      <c r="L27" s="2" t="inlineStr">
        <is>
          <t>5 - Rất quan tâm</t>
        </is>
      </c>
      <c r="M27" s="2" t="inlineStr">
        <is>
          <t>5 - Rất quan tâm</t>
        </is>
      </c>
      <c r="N27" s="2" t="inlineStr"/>
      <c r="O27" s="2" t="inlineStr"/>
      <c r="P27" s="2" t="inlineStr"/>
      <c r="Q27" s="2" t="inlineStr"/>
      <c r="R27" s="2" t="inlineStr"/>
      <c r="S27" s="2" t="inlineStr"/>
      <c r="T27" s="2" t="inlineStr"/>
      <c r="U27" s="2" t="inlineStr"/>
      <c r="V27" s="2" t="inlineStr"/>
      <c r="W27" s="2" t="inlineStr">
        <is>
          <t>Có nhưng chỉ ngắn hạn (1–2 tháng)</t>
        </is>
      </c>
      <c r="X27" s="2" t="inlineStr">
        <is>
          <t>Học tiếp chương trình sau đại học</t>
        </is>
      </c>
      <c r="Y27" s="2" t="inlineStr"/>
      <c r="Z27" s="2" t="inlineStr">
        <is>
          <t>Có thể</t>
        </is>
      </c>
      <c r="AA27" s="2" t="inlineStr"/>
      <c r="AB27" s="2">
        <f>IFERROR(VALUE(LEFT(F27,1)),"")</f>
        <v/>
      </c>
      <c r="AC27" s="2">
        <f>IFERROR(VALUE(LEFT(G27,1)),"")</f>
        <v/>
      </c>
      <c r="AD27" s="2">
        <f>IFERROR(VALUE(LEFT(H27,1)),"")</f>
        <v/>
      </c>
      <c r="AE27" s="2">
        <f>IFERROR(VALUE(LEFT(I27,1)),"")</f>
        <v/>
      </c>
      <c r="AF27" s="2">
        <f>IFERROR(VALUE(LEFT(J27,1)),"")</f>
        <v/>
      </c>
      <c r="AG27" s="2">
        <f>IFERROR(VALUE(LEFT(K27,1)),"")</f>
        <v/>
      </c>
      <c r="AH27" s="2">
        <f>IFERROR(VALUE(LEFT(L27,1)),"")</f>
        <v/>
      </c>
      <c r="AI27" s="2">
        <f>IFERROR(VALUE(LEFT(M27,1)),"")</f>
        <v/>
      </c>
      <c r="AJ27" s="2">
        <f>IFERROR(VALUE(LEFT(N27,1)),"")</f>
        <v/>
      </c>
      <c r="AK27" s="2">
        <f>IFERROR(VALUE(LEFT(O27,1)),"")</f>
        <v/>
      </c>
      <c r="AL27" s="2">
        <f>IFERROR(VALUE(LEFT(P27,1)),"")</f>
        <v/>
      </c>
      <c r="AM27" s="2">
        <f>IFERROR(VALUE(LEFT(Q27,1)),"")</f>
        <v/>
      </c>
      <c r="AN27" s="2">
        <f>IFERROR(VALUE(LEFT(R27,1)),"")</f>
        <v/>
      </c>
      <c r="AO27" s="2">
        <f>IFERROR(VALUE(LEFT(S27,1)),"")</f>
        <v/>
      </c>
      <c r="AP27" s="2">
        <f>IFERROR(VALUE(LEFT(T27,1)),"")</f>
        <v/>
      </c>
      <c r="AQ27" s="2">
        <f>IFERROR(VALUE(LEFT(U27,1)),"")</f>
        <v/>
      </c>
    </row>
    <row r="28">
      <c r="A28" s="2" t="n">
        <v>27</v>
      </c>
      <c r="B28" s="2" t="inlineStr">
        <is>
          <t>Trường Đại học thuộc ĐHQG</t>
        </is>
      </c>
      <c r="C28" s="2" t="inlineStr">
        <is>
          <t>Sinh viên năm 1-2/ Tân sinh viên</t>
        </is>
      </c>
      <c r="D28" s="2" t="inlineStr"/>
      <c r="E28" s="2" t="inlineStr"/>
      <c r="F28" s="2" t="inlineStr">
        <is>
          <t>4 - Khá quan tâm</t>
        </is>
      </c>
      <c r="G28" s="2" t="inlineStr">
        <is>
          <t>2 - Ít quan tâm</t>
        </is>
      </c>
      <c r="H28" s="2" t="inlineStr">
        <is>
          <t>4 - Khá quan tâm</t>
        </is>
      </c>
      <c r="I28" s="2" t="inlineStr">
        <is>
          <t>3 - Bình thường</t>
        </is>
      </c>
      <c r="J28" s="2" t="inlineStr">
        <is>
          <t>2 - Ít quan tâm</t>
        </is>
      </c>
      <c r="K28" s="2" t="inlineStr">
        <is>
          <t>5 - Rất quan tâm</t>
        </is>
      </c>
      <c r="L28" s="2" t="inlineStr">
        <is>
          <t>4 - Khá quan tâm</t>
        </is>
      </c>
      <c r="M28" s="2" t="inlineStr">
        <is>
          <t>2 - Ít quan tâm</t>
        </is>
      </c>
      <c r="N28" s="2" t="inlineStr"/>
      <c r="O28" s="2" t="inlineStr"/>
      <c r="P28" s="2" t="inlineStr"/>
      <c r="Q28" s="2" t="inlineStr"/>
      <c r="R28" s="2" t="inlineStr"/>
      <c r="S28" s="2" t="inlineStr"/>
      <c r="T28" s="2" t="inlineStr"/>
      <c r="U28" s="2" t="inlineStr"/>
      <c r="V28" s="2" t="inlineStr"/>
      <c r="W28" s="2" t="inlineStr">
        <is>
          <t>Có nhưng chưa biết bắt đầu</t>
        </is>
      </c>
      <c r="X28" s="2" t="inlineStr"/>
      <c r="Y28" s="2" t="inlineStr"/>
      <c r="Z28" s="2" t="inlineStr"/>
      <c r="AA28" s="2" t="inlineStr">
        <is>
          <t>Không có</t>
        </is>
      </c>
      <c r="AB28" s="2">
        <f>IFERROR(VALUE(LEFT(F28,1)),"")</f>
        <v/>
      </c>
      <c r="AC28" s="2">
        <f>IFERROR(VALUE(LEFT(G28,1)),"")</f>
        <v/>
      </c>
      <c r="AD28" s="2">
        <f>IFERROR(VALUE(LEFT(H28,1)),"")</f>
        <v/>
      </c>
      <c r="AE28" s="2">
        <f>IFERROR(VALUE(LEFT(I28,1)),"")</f>
        <v/>
      </c>
      <c r="AF28" s="2">
        <f>IFERROR(VALUE(LEFT(J28,1)),"")</f>
        <v/>
      </c>
      <c r="AG28" s="2">
        <f>IFERROR(VALUE(LEFT(K28,1)),"")</f>
        <v/>
      </c>
      <c r="AH28" s="2">
        <f>IFERROR(VALUE(LEFT(L28,1)),"")</f>
        <v/>
      </c>
      <c r="AI28" s="2">
        <f>IFERROR(VALUE(LEFT(M28,1)),"")</f>
        <v/>
      </c>
      <c r="AJ28" s="2">
        <f>IFERROR(VALUE(LEFT(N28,1)),"")</f>
        <v/>
      </c>
      <c r="AK28" s="2">
        <f>IFERROR(VALUE(LEFT(O28,1)),"")</f>
        <v/>
      </c>
      <c r="AL28" s="2">
        <f>IFERROR(VALUE(LEFT(P28,1)),"")</f>
        <v/>
      </c>
      <c r="AM28" s="2">
        <f>IFERROR(VALUE(LEFT(Q28,1)),"")</f>
        <v/>
      </c>
      <c r="AN28" s="2">
        <f>IFERROR(VALUE(LEFT(R28,1)),"")</f>
        <v/>
      </c>
      <c r="AO28" s="2">
        <f>IFERROR(VALUE(LEFT(S28,1)),"")</f>
        <v/>
      </c>
      <c r="AP28" s="2">
        <f>IFERROR(VALUE(LEFT(T28,1)),"")</f>
        <v/>
      </c>
      <c r="AQ28" s="2">
        <f>IFERROR(VALUE(LEFT(U28,1)),"")</f>
        <v/>
      </c>
    </row>
    <row r="29">
      <c r="A29" s="2" t="n">
        <v>28</v>
      </c>
      <c r="B29" s="2" t="inlineStr">
        <is>
          <t>Trường Đại học thuộc ĐHQG</t>
        </is>
      </c>
      <c r="C29" s="2" t="inlineStr">
        <is>
          <t>Sinh viên năm 1-2/ Tân sinh viên</t>
        </is>
      </c>
      <c r="D29" s="2" t="inlineStr"/>
      <c r="E29" s="2" t="inlineStr"/>
      <c r="F29" s="2" t="inlineStr">
        <is>
          <t>4 - Khá quan tâm</t>
        </is>
      </c>
      <c r="G29" s="2" t="inlineStr">
        <is>
          <t>4 - Khá quan tâm</t>
        </is>
      </c>
      <c r="H29" s="2" t="inlineStr">
        <is>
          <t>4 - Khá quan tâm</t>
        </is>
      </c>
      <c r="I29" s="2" t="inlineStr">
        <is>
          <t>4 - Khá quan tâm</t>
        </is>
      </c>
      <c r="J29" s="2" t="inlineStr">
        <is>
          <t>4 - Khá quan tâm</t>
        </is>
      </c>
      <c r="K29" s="2" t="inlineStr">
        <is>
          <t>4 - Khá quan tâm</t>
        </is>
      </c>
      <c r="L29" s="2" t="inlineStr">
        <is>
          <t>4 - Khá quan tâm</t>
        </is>
      </c>
      <c r="M29" s="2" t="inlineStr">
        <is>
          <t>4 - Khá quan tâm</t>
        </is>
      </c>
      <c r="N29" s="2" t="inlineStr"/>
      <c r="O29" s="2" t="inlineStr"/>
      <c r="P29" s="2" t="inlineStr"/>
      <c r="Q29" s="2" t="inlineStr"/>
      <c r="R29" s="2" t="inlineStr"/>
      <c r="S29" s="2" t="inlineStr"/>
      <c r="T29" s="2" t="inlineStr"/>
      <c r="U29" s="2" t="inlineStr"/>
      <c r="V29" s="2" t="inlineStr"/>
      <c r="W29" s="2" t="inlineStr">
        <is>
          <t>Có – định hướng học tập &amp; kỹ năng mềm</t>
        </is>
      </c>
      <c r="X29" s="2" t="inlineStr"/>
      <c r="Y29" s="2" t="inlineStr"/>
      <c r="Z29" s="2" t="inlineStr"/>
      <c r="AA29" s="2" t="inlineStr">
        <is>
          <t>Dạ chủ yếu em mong muốn achi khoá trên chia sẻ kinh nghiệm về ngành học ạ</t>
        </is>
      </c>
      <c r="AB29" s="2">
        <f>IFERROR(VALUE(LEFT(F29,1)),"")</f>
        <v/>
      </c>
      <c r="AC29" s="2">
        <f>IFERROR(VALUE(LEFT(G29,1)),"")</f>
        <v/>
      </c>
      <c r="AD29" s="2">
        <f>IFERROR(VALUE(LEFT(H29,1)),"")</f>
        <v/>
      </c>
      <c r="AE29" s="2">
        <f>IFERROR(VALUE(LEFT(I29,1)),"")</f>
        <v/>
      </c>
      <c r="AF29" s="2">
        <f>IFERROR(VALUE(LEFT(J29,1)),"")</f>
        <v/>
      </c>
      <c r="AG29" s="2">
        <f>IFERROR(VALUE(LEFT(K29,1)),"")</f>
        <v/>
      </c>
      <c r="AH29" s="2">
        <f>IFERROR(VALUE(LEFT(L29,1)),"")</f>
        <v/>
      </c>
      <c r="AI29" s="2">
        <f>IFERROR(VALUE(LEFT(M29,1)),"")</f>
        <v/>
      </c>
      <c r="AJ29" s="2">
        <f>IFERROR(VALUE(LEFT(N29,1)),"")</f>
        <v/>
      </c>
      <c r="AK29" s="2">
        <f>IFERROR(VALUE(LEFT(O29,1)),"")</f>
        <v/>
      </c>
      <c r="AL29" s="2">
        <f>IFERROR(VALUE(LEFT(P29,1)),"")</f>
        <v/>
      </c>
      <c r="AM29" s="2">
        <f>IFERROR(VALUE(LEFT(Q29,1)),"")</f>
        <v/>
      </c>
      <c r="AN29" s="2">
        <f>IFERROR(VALUE(LEFT(R29,1)),"")</f>
        <v/>
      </c>
      <c r="AO29" s="2">
        <f>IFERROR(VALUE(LEFT(S29,1)),"")</f>
        <v/>
      </c>
      <c r="AP29" s="2">
        <f>IFERROR(VALUE(LEFT(T29,1)),"")</f>
        <v/>
      </c>
      <c r="AQ29" s="2">
        <f>IFERROR(VALUE(LEFT(U29,1)),"")</f>
        <v/>
      </c>
    </row>
    <row r="30">
      <c r="A30" s="2" t="n">
        <v>29</v>
      </c>
      <c r="B30" s="2" t="inlineStr">
        <is>
          <t>Trường Đại học thuộc ĐHQG</t>
        </is>
      </c>
      <c r="C30" s="2" t="inlineStr">
        <is>
          <t>Sinh viên năm 3-4</t>
        </is>
      </c>
      <c r="D30" s="2" t="inlineStr"/>
      <c r="E30" s="2" t="inlineStr"/>
      <c r="F30" s="2" t="inlineStr">
        <is>
          <t>4 - Khá quan tâm</t>
        </is>
      </c>
      <c r="G30" s="2" t="inlineStr">
        <is>
          <t>4 - Khá quan tâm</t>
        </is>
      </c>
      <c r="H30" s="2" t="inlineStr">
        <is>
          <t>4 - Khá quan tâm</t>
        </is>
      </c>
      <c r="I30" s="2" t="inlineStr">
        <is>
          <t>4 - Khá quan tâm</t>
        </is>
      </c>
      <c r="J30" s="2" t="inlineStr">
        <is>
          <t>4 - Khá quan tâm</t>
        </is>
      </c>
      <c r="K30" s="2" t="inlineStr">
        <is>
          <t>4 - Khá quan tâm</t>
        </is>
      </c>
      <c r="L30" s="2" t="inlineStr">
        <is>
          <t>4 - Khá quan tâm</t>
        </is>
      </c>
      <c r="M30" s="2" t="inlineStr">
        <is>
          <t>4 - Khá quan tâm</t>
        </is>
      </c>
      <c r="N30" s="2" t="inlineStr"/>
      <c r="O30" s="2" t="inlineStr"/>
      <c r="P30" s="2" t="inlineStr"/>
      <c r="Q30" s="2" t="inlineStr"/>
      <c r="R30" s="2" t="inlineStr"/>
      <c r="S30" s="2" t="inlineStr"/>
      <c r="T30" s="2" t="inlineStr"/>
      <c r="U30" s="2" t="inlineStr"/>
      <c r="V30" s="2" t="inlineStr"/>
      <c r="W30" s="2" t="inlineStr">
        <is>
          <t>Có</t>
        </is>
      </c>
      <c r="X30" s="2" t="inlineStr">
        <is>
          <t>Đi làm</t>
        </is>
      </c>
      <c r="Y30" s="2" t="inlineStr"/>
      <c r="Z30" s="2" t="inlineStr">
        <is>
          <t>Có</t>
        </is>
      </c>
      <c r="AA30" s="2" t="inlineStr">
        <is>
          <t>Chưa biết</t>
        </is>
      </c>
      <c r="AB30" s="2">
        <f>IFERROR(VALUE(LEFT(F30,1)),"")</f>
        <v/>
      </c>
      <c r="AC30" s="2">
        <f>IFERROR(VALUE(LEFT(G30,1)),"")</f>
        <v/>
      </c>
      <c r="AD30" s="2">
        <f>IFERROR(VALUE(LEFT(H30,1)),"")</f>
        <v/>
      </c>
      <c r="AE30" s="2">
        <f>IFERROR(VALUE(LEFT(I30,1)),"")</f>
        <v/>
      </c>
      <c r="AF30" s="2">
        <f>IFERROR(VALUE(LEFT(J30,1)),"")</f>
        <v/>
      </c>
      <c r="AG30" s="2">
        <f>IFERROR(VALUE(LEFT(K30,1)),"")</f>
        <v/>
      </c>
      <c r="AH30" s="2">
        <f>IFERROR(VALUE(LEFT(L30,1)),"")</f>
        <v/>
      </c>
      <c r="AI30" s="2">
        <f>IFERROR(VALUE(LEFT(M30,1)),"")</f>
        <v/>
      </c>
      <c r="AJ30" s="2">
        <f>IFERROR(VALUE(LEFT(N30,1)),"")</f>
        <v/>
      </c>
      <c r="AK30" s="2">
        <f>IFERROR(VALUE(LEFT(O30,1)),"")</f>
        <v/>
      </c>
      <c r="AL30" s="2">
        <f>IFERROR(VALUE(LEFT(P30,1)),"")</f>
        <v/>
      </c>
      <c r="AM30" s="2">
        <f>IFERROR(VALUE(LEFT(Q30,1)),"")</f>
        <v/>
      </c>
      <c r="AN30" s="2">
        <f>IFERROR(VALUE(LEFT(R30,1)),"")</f>
        <v/>
      </c>
      <c r="AO30" s="2">
        <f>IFERROR(VALUE(LEFT(S30,1)),"")</f>
        <v/>
      </c>
      <c r="AP30" s="2">
        <f>IFERROR(VALUE(LEFT(T30,1)),"")</f>
        <v/>
      </c>
      <c r="AQ30" s="2">
        <f>IFERROR(VALUE(LEFT(U30,1)),"")</f>
        <v/>
      </c>
    </row>
    <row r="31">
      <c r="A31" s="2" t="n">
        <v>30</v>
      </c>
      <c r="B31" s="2" t="inlineStr">
        <is>
          <t>Trường Đại học thuộc ĐHQG</t>
        </is>
      </c>
      <c r="C31" s="2" t="inlineStr">
        <is>
          <t>Sinh viên năm 1-2/ Tân sinh viên</t>
        </is>
      </c>
      <c r="D31" s="2" t="inlineStr"/>
      <c r="E31" s="2" t="inlineStr"/>
      <c r="F31" s="2" t="inlineStr">
        <is>
          <t>3 - Bình thường</t>
        </is>
      </c>
      <c r="G31" s="2" t="inlineStr">
        <is>
          <t>3 - Bình thường</t>
        </is>
      </c>
      <c r="H31" s="2" t="inlineStr">
        <is>
          <t>4 - Khá quan tâm</t>
        </is>
      </c>
      <c r="I31" s="2" t="inlineStr">
        <is>
          <t>3 - Bình thường</t>
        </is>
      </c>
      <c r="J31" s="2" t="inlineStr">
        <is>
          <t>3 - Bình thường</t>
        </is>
      </c>
      <c r="K31" s="2" t="inlineStr">
        <is>
          <t>3 - Bình thường</t>
        </is>
      </c>
      <c r="L31" s="2" t="inlineStr">
        <is>
          <t>3 - Bình thường</t>
        </is>
      </c>
      <c r="M31" s="2" t="inlineStr">
        <is>
          <t>4 - Khá quan tâm</t>
        </is>
      </c>
      <c r="N31" s="2" t="inlineStr"/>
      <c r="O31" s="2" t="inlineStr"/>
      <c r="P31" s="2" t="inlineStr"/>
      <c r="Q31" s="2" t="inlineStr"/>
      <c r="R31" s="2" t="inlineStr"/>
      <c r="S31" s="2" t="inlineStr"/>
      <c r="T31" s="2" t="inlineStr"/>
      <c r="U31" s="2" t="inlineStr"/>
      <c r="V31" s="2" t="inlineStr"/>
      <c r="W31" s="2" t="inlineStr">
        <is>
          <t>Có – định hướng học tập &amp; kỹ năng mềm</t>
        </is>
      </c>
      <c r="X31" s="2" t="inlineStr"/>
      <c r="Y31" s="2" t="inlineStr"/>
      <c r="Z31" s="2" t="inlineStr"/>
      <c r="AA31" s="2" t="inlineStr">
        <is>
          <t>Ko bt</t>
        </is>
      </c>
      <c r="AB31" s="2">
        <f>IFERROR(VALUE(LEFT(F31,1)),"")</f>
        <v/>
      </c>
      <c r="AC31" s="2">
        <f>IFERROR(VALUE(LEFT(G31,1)),"")</f>
        <v/>
      </c>
      <c r="AD31" s="2">
        <f>IFERROR(VALUE(LEFT(H31,1)),"")</f>
        <v/>
      </c>
      <c r="AE31" s="2">
        <f>IFERROR(VALUE(LEFT(I31,1)),"")</f>
        <v/>
      </c>
      <c r="AF31" s="2">
        <f>IFERROR(VALUE(LEFT(J31,1)),"")</f>
        <v/>
      </c>
      <c r="AG31" s="2">
        <f>IFERROR(VALUE(LEFT(K31,1)),"")</f>
        <v/>
      </c>
      <c r="AH31" s="2">
        <f>IFERROR(VALUE(LEFT(L31,1)),"")</f>
        <v/>
      </c>
      <c r="AI31" s="2">
        <f>IFERROR(VALUE(LEFT(M31,1)),"")</f>
        <v/>
      </c>
      <c r="AJ31" s="2">
        <f>IFERROR(VALUE(LEFT(N31,1)),"")</f>
        <v/>
      </c>
      <c r="AK31" s="2">
        <f>IFERROR(VALUE(LEFT(O31,1)),"")</f>
        <v/>
      </c>
      <c r="AL31" s="2">
        <f>IFERROR(VALUE(LEFT(P31,1)),"")</f>
        <v/>
      </c>
      <c r="AM31" s="2">
        <f>IFERROR(VALUE(LEFT(Q31,1)),"")</f>
        <v/>
      </c>
      <c r="AN31" s="2">
        <f>IFERROR(VALUE(LEFT(R31,1)),"")</f>
        <v/>
      </c>
      <c r="AO31" s="2">
        <f>IFERROR(VALUE(LEFT(S31,1)),"")</f>
        <v/>
      </c>
      <c r="AP31" s="2">
        <f>IFERROR(VALUE(LEFT(T31,1)),"")</f>
        <v/>
      </c>
      <c r="AQ31" s="2">
        <f>IFERROR(VALUE(LEFT(U31,1)),"")</f>
        <v/>
      </c>
    </row>
    <row r="32">
      <c r="A32" s="2" t="n">
        <v>31</v>
      </c>
      <c r="B32" s="2" t="inlineStr">
        <is>
          <t>Trường Đại học ở nước ngoài</t>
        </is>
      </c>
      <c r="C32" s="2" t="inlineStr">
        <is>
          <t>Sinh viên năm 3-4</t>
        </is>
      </c>
      <c r="D32" s="2" t="inlineStr"/>
      <c r="E32" s="2" t="inlineStr"/>
      <c r="F32" s="2" t="inlineStr">
        <is>
          <t>5 - Rất quan tâm</t>
        </is>
      </c>
      <c r="G32" s="2" t="inlineStr">
        <is>
          <t>5 - Rất quan tâm</t>
        </is>
      </c>
      <c r="H32" s="2" t="inlineStr">
        <is>
          <t>2 - Ít quan tâm</t>
        </is>
      </c>
      <c r="I32" s="2" t="inlineStr">
        <is>
          <t>4 - Khá quan tâm</t>
        </is>
      </c>
      <c r="J32" s="2" t="inlineStr">
        <is>
          <t>5 - Rất quan tâm</t>
        </is>
      </c>
      <c r="K32" s="2" t="inlineStr">
        <is>
          <t>5 - Rất quan tâm</t>
        </is>
      </c>
      <c r="L32" s="2" t="inlineStr">
        <is>
          <t>4 - Khá quan tâm</t>
        </is>
      </c>
      <c r="M32" s="2" t="inlineStr">
        <is>
          <t>4 - Khá quan tâm</t>
        </is>
      </c>
      <c r="N32" s="2" t="inlineStr"/>
      <c r="O32" s="2" t="inlineStr"/>
      <c r="P32" s="2" t="inlineStr"/>
      <c r="Q32" s="2" t="inlineStr"/>
      <c r="R32" s="2" t="inlineStr"/>
      <c r="S32" s="2" t="inlineStr"/>
      <c r="T32" s="2" t="inlineStr"/>
      <c r="U32" s="2" t="inlineStr"/>
      <c r="V32" s="2" t="inlineStr"/>
      <c r="W32" s="2" t="inlineStr">
        <is>
          <t>Không cần thiết</t>
        </is>
      </c>
      <c r="X32" s="2" t="inlineStr">
        <is>
          <t>Đi làm</t>
        </is>
      </c>
      <c r="Y32" s="2" t="inlineStr"/>
      <c r="Z32" s="2" t="inlineStr">
        <is>
          <t>Có thể</t>
        </is>
      </c>
      <c r="AA32" s="2" t="inlineStr">
        <is>
          <t>Không</t>
        </is>
      </c>
      <c r="AB32" s="2">
        <f>IFERROR(VALUE(LEFT(F32,1)),"")</f>
        <v/>
      </c>
      <c r="AC32" s="2">
        <f>IFERROR(VALUE(LEFT(G32,1)),"")</f>
        <v/>
      </c>
      <c r="AD32" s="2">
        <f>IFERROR(VALUE(LEFT(H32,1)),"")</f>
        <v/>
      </c>
      <c r="AE32" s="2">
        <f>IFERROR(VALUE(LEFT(I32,1)),"")</f>
        <v/>
      </c>
      <c r="AF32" s="2">
        <f>IFERROR(VALUE(LEFT(J32,1)),"")</f>
        <v/>
      </c>
      <c r="AG32" s="2">
        <f>IFERROR(VALUE(LEFT(K32,1)),"")</f>
        <v/>
      </c>
      <c r="AH32" s="2">
        <f>IFERROR(VALUE(LEFT(L32,1)),"")</f>
        <v/>
      </c>
      <c r="AI32" s="2">
        <f>IFERROR(VALUE(LEFT(M32,1)),"")</f>
        <v/>
      </c>
      <c r="AJ32" s="2">
        <f>IFERROR(VALUE(LEFT(N32,1)),"")</f>
        <v/>
      </c>
      <c r="AK32" s="2">
        <f>IFERROR(VALUE(LEFT(O32,1)),"")</f>
        <v/>
      </c>
      <c r="AL32" s="2">
        <f>IFERROR(VALUE(LEFT(P32,1)),"")</f>
        <v/>
      </c>
      <c r="AM32" s="2">
        <f>IFERROR(VALUE(LEFT(Q32,1)),"")</f>
        <v/>
      </c>
      <c r="AN32" s="2">
        <f>IFERROR(VALUE(LEFT(R32,1)),"")</f>
        <v/>
      </c>
      <c r="AO32" s="2">
        <f>IFERROR(VALUE(LEFT(S32,1)),"")</f>
        <v/>
      </c>
      <c r="AP32" s="2">
        <f>IFERROR(VALUE(LEFT(T32,1)),"")</f>
        <v/>
      </c>
      <c r="AQ32" s="2">
        <f>IFERROR(VALUE(LEFT(U32,1)),"")</f>
        <v/>
      </c>
    </row>
    <row r="33">
      <c r="A33" s="2" t="n">
        <v>32</v>
      </c>
      <c r="B33" s="2" t="inlineStr">
        <is>
          <t>Đại học</t>
        </is>
      </c>
      <c r="C33" s="2" t="inlineStr">
        <is>
          <t>Sinh viên năm 3-4</t>
        </is>
      </c>
      <c r="D33" s="2" t="inlineStr"/>
      <c r="E33" s="2" t="inlineStr"/>
      <c r="F33" s="2" t="inlineStr">
        <is>
          <t>4 - Khá quan tâm</t>
        </is>
      </c>
      <c r="G33" s="2" t="inlineStr">
        <is>
          <t>4 - Khá quan tâm</t>
        </is>
      </c>
      <c r="H33" s="2" t="inlineStr">
        <is>
          <t>3 - Bình thường</t>
        </is>
      </c>
      <c r="I33" s="2" t="inlineStr">
        <is>
          <t>4 - Khá quan tâm</t>
        </is>
      </c>
      <c r="J33" s="2" t="inlineStr">
        <is>
          <t>3 - Bình thường</t>
        </is>
      </c>
      <c r="K33" s="2" t="inlineStr">
        <is>
          <t>3 - Bình thường</t>
        </is>
      </c>
      <c r="L33" s="2" t="inlineStr">
        <is>
          <t>4 - Khá quan tâm</t>
        </is>
      </c>
      <c r="M33" s="2" t="inlineStr">
        <is>
          <t>2 - Ít quan tâm</t>
        </is>
      </c>
      <c r="N33" s="2" t="inlineStr"/>
      <c r="O33" s="2" t="inlineStr"/>
      <c r="P33" s="2" t="inlineStr"/>
      <c r="Q33" s="2" t="inlineStr"/>
      <c r="R33" s="2" t="inlineStr"/>
      <c r="S33" s="2" t="inlineStr"/>
      <c r="T33" s="2" t="inlineStr"/>
      <c r="U33" s="2" t="inlineStr"/>
      <c r="V33" s="2" t="inlineStr"/>
      <c r="W33" s="2" t="inlineStr">
        <is>
          <t>Có nhưng chỉ ngắn hạn (1–2 tháng)</t>
        </is>
      </c>
      <c r="X33" s="2" t="inlineStr">
        <is>
          <t>Đi làm</t>
        </is>
      </c>
      <c r="Y33" s="2" t="inlineStr"/>
      <c r="Z33" s="2" t="inlineStr">
        <is>
          <t>Có thể</t>
        </is>
      </c>
      <c r="AA33" s="2" t="inlineStr"/>
      <c r="AB33" s="2">
        <f>IFERROR(VALUE(LEFT(F33,1)),"")</f>
        <v/>
      </c>
      <c r="AC33" s="2">
        <f>IFERROR(VALUE(LEFT(G33,1)),"")</f>
        <v/>
      </c>
      <c r="AD33" s="2">
        <f>IFERROR(VALUE(LEFT(H33,1)),"")</f>
        <v/>
      </c>
      <c r="AE33" s="2">
        <f>IFERROR(VALUE(LEFT(I33,1)),"")</f>
        <v/>
      </c>
      <c r="AF33" s="2">
        <f>IFERROR(VALUE(LEFT(J33,1)),"")</f>
        <v/>
      </c>
      <c r="AG33" s="2">
        <f>IFERROR(VALUE(LEFT(K33,1)),"")</f>
        <v/>
      </c>
      <c r="AH33" s="2">
        <f>IFERROR(VALUE(LEFT(L33,1)),"")</f>
        <v/>
      </c>
      <c r="AI33" s="2">
        <f>IFERROR(VALUE(LEFT(M33,1)),"")</f>
        <v/>
      </c>
      <c r="AJ33" s="2">
        <f>IFERROR(VALUE(LEFT(N33,1)),"")</f>
        <v/>
      </c>
      <c r="AK33" s="2">
        <f>IFERROR(VALUE(LEFT(O33,1)),"")</f>
        <v/>
      </c>
      <c r="AL33" s="2">
        <f>IFERROR(VALUE(LEFT(P33,1)),"")</f>
        <v/>
      </c>
      <c r="AM33" s="2">
        <f>IFERROR(VALUE(LEFT(Q33,1)),"")</f>
        <v/>
      </c>
      <c r="AN33" s="2">
        <f>IFERROR(VALUE(LEFT(R33,1)),"")</f>
        <v/>
      </c>
      <c r="AO33" s="2">
        <f>IFERROR(VALUE(LEFT(S33,1)),"")</f>
        <v/>
      </c>
      <c r="AP33" s="2">
        <f>IFERROR(VALUE(LEFT(T33,1)),"")</f>
        <v/>
      </c>
      <c r="AQ33" s="2">
        <f>IFERROR(VALUE(LEFT(U33,1)),"")</f>
        <v/>
      </c>
    </row>
    <row r="34">
      <c r="A34" s="2" t="n">
        <v>33</v>
      </c>
      <c r="B34" s="2" t="inlineStr">
        <is>
          <t>Trường Đại học ngoài ĐHQG tại Việt Nam</t>
        </is>
      </c>
      <c r="C34" s="2" t="inlineStr">
        <is>
          <t>Sinh viên năm 3-4</t>
        </is>
      </c>
      <c r="D34" s="2" t="inlineStr"/>
      <c r="E34" s="2" t="inlineStr"/>
      <c r="F34" s="2" t="inlineStr">
        <is>
          <t>2 - Ít quan tâm</t>
        </is>
      </c>
      <c r="G34" s="2" t="inlineStr">
        <is>
          <t>5 - Rất quan tâm</t>
        </is>
      </c>
      <c r="H34" s="2" t="inlineStr">
        <is>
          <t>5 - Rất quan tâm</t>
        </is>
      </c>
      <c r="I34" s="2" t="inlineStr">
        <is>
          <t>5 - Rất quan tâm</t>
        </is>
      </c>
      <c r="J34" s="2" t="inlineStr">
        <is>
          <t>4 - Khá quan tâm</t>
        </is>
      </c>
      <c r="K34" s="2" t="inlineStr">
        <is>
          <t>4 - Khá quan tâm</t>
        </is>
      </c>
      <c r="L34" s="2" t="inlineStr">
        <is>
          <t>3 - Bình thường</t>
        </is>
      </c>
      <c r="M34" s="2" t="inlineStr">
        <is>
          <t>2 - Ít quan tâm</t>
        </is>
      </c>
      <c r="N34" s="2" t="inlineStr"/>
      <c r="O34" s="2" t="inlineStr"/>
      <c r="P34" s="2" t="inlineStr"/>
      <c r="Q34" s="2" t="inlineStr"/>
      <c r="R34" s="2" t="inlineStr"/>
      <c r="S34" s="2" t="inlineStr"/>
      <c r="T34" s="2" t="inlineStr"/>
      <c r="U34" s="2" t="inlineStr"/>
      <c r="V34" s="2" t="inlineStr"/>
      <c r="W34" s="2" t="inlineStr">
        <is>
          <t>Có</t>
        </is>
      </c>
      <c r="X34" s="2" t="inlineStr">
        <is>
          <t>Đi làm</t>
        </is>
      </c>
      <c r="Y34" s="2" t="inlineStr"/>
      <c r="Z34" s="2" t="inlineStr">
        <is>
          <t>Có</t>
        </is>
      </c>
      <c r="AA34" s="2" t="inlineStr">
        <is>
          <t>1. “Portfolio &amp; CV Review Hub”: Góc chỉnh sửa hồ sơ nhanh
Upload CV/portfolio → mentor/anh chị cựu sinh viên góp ý.
2. Job &amp; Internship Radar (theo ngành + theo cựu sinh viên giới thiệu):
Danh sách cơ hội việc làm được chính cựu sinh viên đăng hoặc giới thiệu nội bộ công ty.</t>
        </is>
      </c>
      <c r="AB34" s="2">
        <f>IFERROR(VALUE(LEFT(F34,1)),"")</f>
        <v/>
      </c>
      <c r="AC34" s="2">
        <f>IFERROR(VALUE(LEFT(G34,1)),"")</f>
        <v/>
      </c>
      <c r="AD34" s="2">
        <f>IFERROR(VALUE(LEFT(H34,1)),"")</f>
        <v/>
      </c>
      <c r="AE34" s="2">
        <f>IFERROR(VALUE(LEFT(I34,1)),"")</f>
        <v/>
      </c>
      <c r="AF34" s="2">
        <f>IFERROR(VALUE(LEFT(J34,1)),"")</f>
        <v/>
      </c>
      <c r="AG34" s="2">
        <f>IFERROR(VALUE(LEFT(K34,1)),"")</f>
        <v/>
      </c>
      <c r="AH34" s="2">
        <f>IFERROR(VALUE(LEFT(L34,1)),"")</f>
        <v/>
      </c>
      <c r="AI34" s="2">
        <f>IFERROR(VALUE(LEFT(M34,1)),"")</f>
        <v/>
      </c>
      <c r="AJ34" s="2">
        <f>IFERROR(VALUE(LEFT(N34,1)),"")</f>
        <v/>
      </c>
      <c r="AK34" s="2">
        <f>IFERROR(VALUE(LEFT(O34,1)),"")</f>
        <v/>
      </c>
      <c r="AL34" s="2">
        <f>IFERROR(VALUE(LEFT(P34,1)),"")</f>
        <v/>
      </c>
      <c r="AM34" s="2">
        <f>IFERROR(VALUE(LEFT(Q34,1)),"")</f>
        <v/>
      </c>
      <c r="AN34" s="2">
        <f>IFERROR(VALUE(LEFT(R34,1)),"")</f>
        <v/>
      </c>
      <c r="AO34" s="2">
        <f>IFERROR(VALUE(LEFT(S34,1)),"")</f>
        <v/>
      </c>
      <c r="AP34" s="2">
        <f>IFERROR(VALUE(LEFT(T34,1)),"")</f>
        <v/>
      </c>
      <c r="AQ34" s="2">
        <f>IFERROR(VALUE(LEFT(U34,1)),"")</f>
        <v/>
      </c>
    </row>
    <row r="35">
      <c r="A35" s="2" t="n">
        <v>34</v>
      </c>
      <c r="B35" s="2" t="inlineStr">
        <is>
          <t>Trường Đại học ngoài ĐHQG tại Việt Nam</t>
        </is>
      </c>
      <c r="C35" s="2" t="inlineStr">
        <is>
          <t>Sinh viên năm 3-4</t>
        </is>
      </c>
      <c r="D35" s="2" t="inlineStr"/>
      <c r="E35" s="2" t="inlineStr"/>
      <c r="F35" s="2" t="inlineStr">
        <is>
          <t>3 - Bình thường</t>
        </is>
      </c>
      <c r="G35" s="2" t="inlineStr">
        <is>
          <t>4 - Khá quan tâm</t>
        </is>
      </c>
      <c r="H35" s="2" t="inlineStr">
        <is>
          <t>4 - Khá quan tâm</t>
        </is>
      </c>
      <c r="I35" s="2" t="inlineStr">
        <is>
          <t>4 - Khá quan tâm</t>
        </is>
      </c>
      <c r="J35" s="2" t="inlineStr">
        <is>
          <t>4 - Khá quan tâm</t>
        </is>
      </c>
      <c r="K35" s="2" t="inlineStr">
        <is>
          <t>5 - Rất quan tâm</t>
        </is>
      </c>
      <c r="L35" s="2" t="inlineStr">
        <is>
          <t>5 - Rất quan tâm</t>
        </is>
      </c>
      <c r="M35" s="2" t="inlineStr">
        <is>
          <t>5 - Rất quan tâm</t>
        </is>
      </c>
      <c r="N35" s="2" t="inlineStr"/>
      <c r="O35" s="2" t="inlineStr"/>
      <c r="P35" s="2" t="inlineStr"/>
      <c r="Q35" s="2" t="inlineStr"/>
      <c r="R35" s="2" t="inlineStr"/>
      <c r="S35" s="2" t="inlineStr"/>
      <c r="T35" s="2" t="inlineStr"/>
      <c r="U35" s="2" t="inlineStr"/>
      <c r="V35" s="2" t="inlineStr"/>
      <c r="W35" s="2" t="inlineStr">
        <is>
          <t>Có</t>
        </is>
      </c>
      <c r="X35" s="2" t="inlineStr">
        <is>
          <t>Đi làm</t>
        </is>
      </c>
      <c r="Y35" s="2" t="inlineStr"/>
      <c r="Z35" s="2" t="inlineStr">
        <is>
          <t>Có</t>
        </is>
      </c>
      <c r="AA35" s="2" t="inlineStr">
        <is>
          <t>tổng hợp kiến thức làm NCKH để ôn bài khi cần</t>
        </is>
      </c>
      <c r="AB35" s="2">
        <f>IFERROR(VALUE(LEFT(F35,1)),"")</f>
        <v/>
      </c>
      <c r="AC35" s="2">
        <f>IFERROR(VALUE(LEFT(G35,1)),"")</f>
        <v/>
      </c>
      <c r="AD35" s="2">
        <f>IFERROR(VALUE(LEFT(H35,1)),"")</f>
        <v/>
      </c>
      <c r="AE35" s="2">
        <f>IFERROR(VALUE(LEFT(I35,1)),"")</f>
        <v/>
      </c>
      <c r="AF35" s="2">
        <f>IFERROR(VALUE(LEFT(J35,1)),"")</f>
        <v/>
      </c>
      <c r="AG35" s="2">
        <f>IFERROR(VALUE(LEFT(K35,1)),"")</f>
        <v/>
      </c>
      <c r="AH35" s="2">
        <f>IFERROR(VALUE(LEFT(L35,1)),"")</f>
        <v/>
      </c>
      <c r="AI35" s="2">
        <f>IFERROR(VALUE(LEFT(M35,1)),"")</f>
        <v/>
      </c>
      <c r="AJ35" s="2">
        <f>IFERROR(VALUE(LEFT(N35,1)),"")</f>
        <v/>
      </c>
      <c r="AK35" s="2">
        <f>IFERROR(VALUE(LEFT(O35,1)),"")</f>
        <v/>
      </c>
      <c r="AL35" s="2">
        <f>IFERROR(VALUE(LEFT(P35,1)),"")</f>
        <v/>
      </c>
      <c r="AM35" s="2">
        <f>IFERROR(VALUE(LEFT(Q35,1)),"")</f>
        <v/>
      </c>
      <c r="AN35" s="2">
        <f>IFERROR(VALUE(LEFT(R35,1)),"")</f>
        <v/>
      </c>
      <c r="AO35" s="2">
        <f>IFERROR(VALUE(LEFT(S35,1)),"")</f>
        <v/>
      </c>
      <c r="AP35" s="2">
        <f>IFERROR(VALUE(LEFT(T35,1)),"")</f>
        <v/>
      </c>
      <c r="AQ35" s="2">
        <f>IFERROR(VALUE(LEFT(U35,1)),"")</f>
        <v/>
      </c>
    </row>
    <row r="36">
      <c r="A36" s="2" t="n">
        <v>35</v>
      </c>
      <c r="B36" s="2" t="inlineStr">
        <is>
          <t>Trường Đại học thuộc ĐHQG</t>
        </is>
      </c>
      <c r="C36" s="2" t="inlineStr">
        <is>
          <t>Sinh viên năm 3-4</t>
        </is>
      </c>
      <c r="D36" s="2" t="inlineStr"/>
      <c r="E36" s="2" t="inlineStr"/>
      <c r="F36" s="2" t="inlineStr">
        <is>
          <t>5 - Rất quan tâm</t>
        </is>
      </c>
      <c r="G36" s="2" t="inlineStr">
        <is>
          <t>5 - Rất quan tâm</t>
        </is>
      </c>
      <c r="H36" s="2" t="inlineStr">
        <is>
          <t>4 - Khá quan tâm</t>
        </is>
      </c>
      <c r="I36" s="2" t="inlineStr">
        <is>
          <t>3 - Bình thường</t>
        </is>
      </c>
      <c r="J36" s="2" t="inlineStr">
        <is>
          <t>4 - Khá quan tâm</t>
        </is>
      </c>
      <c r="K36" s="2" t="inlineStr">
        <is>
          <t>4 - Khá quan tâm</t>
        </is>
      </c>
      <c r="L36" s="2" t="inlineStr">
        <is>
          <t>3 - Bình thường</t>
        </is>
      </c>
      <c r="M36" s="2" t="inlineStr">
        <is>
          <t>4 - Khá quan tâm</t>
        </is>
      </c>
      <c r="N36" s="2" t="inlineStr"/>
      <c r="O36" s="2" t="inlineStr"/>
      <c r="P36" s="2" t="inlineStr"/>
      <c r="Q36" s="2" t="inlineStr"/>
      <c r="R36" s="2" t="inlineStr"/>
      <c r="S36" s="2" t="inlineStr"/>
      <c r="T36" s="2" t="inlineStr"/>
      <c r="U36" s="2" t="inlineStr"/>
      <c r="V36" s="2" t="inlineStr"/>
      <c r="W36" s="2" t="inlineStr">
        <is>
          <t>Có nhưng chỉ ngắn hạn (1–2 tháng)</t>
        </is>
      </c>
      <c r="X36" s="2" t="inlineStr">
        <is>
          <t>Chưa xác định</t>
        </is>
      </c>
      <c r="Y36" s="2" t="inlineStr"/>
      <c r="Z36" s="2" t="inlineStr">
        <is>
          <t>Có thể</t>
        </is>
      </c>
      <c r="AA36" s="2" t="inlineStr">
        <is>
          <t>Mình không biết</t>
        </is>
      </c>
      <c r="AB36" s="2">
        <f>IFERROR(VALUE(LEFT(F36,1)),"")</f>
        <v/>
      </c>
      <c r="AC36" s="2">
        <f>IFERROR(VALUE(LEFT(G36,1)),"")</f>
        <v/>
      </c>
      <c r="AD36" s="2">
        <f>IFERROR(VALUE(LEFT(H36,1)),"")</f>
        <v/>
      </c>
      <c r="AE36" s="2">
        <f>IFERROR(VALUE(LEFT(I36,1)),"")</f>
        <v/>
      </c>
      <c r="AF36" s="2">
        <f>IFERROR(VALUE(LEFT(J36,1)),"")</f>
        <v/>
      </c>
      <c r="AG36" s="2">
        <f>IFERROR(VALUE(LEFT(K36,1)),"")</f>
        <v/>
      </c>
      <c r="AH36" s="2">
        <f>IFERROR(VALUE(LEFT(L36,1)),"")</f>
        <v/>
      </c>
      <c r="AI36" s="2">
        <f>IFERROR(VALUE(LEFT(M36,1)),"")</f>
        <v/>
      </c>
      <c r="AJ36" s="2">
        <f>IFERROR(VALUE(LEFT(N36,1)),"")</f>
        <v/>
      </c>
      <c r="AK36" s="2">
        <f>IFERROR(VALUE(LEFT(O36,1)),"")</f>
        <v/>
      </c>
      <c r="AL36" s="2">
        <f>IFERROR(VALUE(LEFT(P36,1)),"")</f>
        <v/>
      </c>
      <c r="AM36" s="2">
        <f>IFERROR(VALUE(LEFT(Q36,1)),"")</f>
        <v/>
      </c>
      <c r="AN36" s="2">
        <f>IFERROR(VALUE(LEFT(R36,1)),"")</f>
        <v/>
      </c>
      <c r="AO36" s="2">
        <f>IFERROR(VALUE(LEFT(S36,1)),"")</f>
        <v/>
      </c>
      <c r="AP36" s="2">
        <f>IFERROR(VALUE(LEFT(T36,1)),"")</f>
        <v/>
      </c>
      <c r="AQ36" s="2">
        <f>IFERROR(VALUE(LEFT(U36,1)),"")</f>
        <v/>
      </c>
    </row>
    <row r="37">
      <c r="A37" s="2" t="n">
        <v>36</v>
      </c>
      <c r="B37" s="2" t="inlineStr">
        <is>
          <t>Trường Đại học thuộc ĐHQG</t>
        </is>
      </c>
      <c r="C37" s="2" t="inlineStr">
        <is>
          <t>Sinh viên năm 3-4</t>
        </is>
      </c>
      <c r="D37" s="2" t="inlineStr"/>
      <c r="E37" s="2" t="inlineStr"/>
      <c r="F37" s="2" t="inlineStr">
        <is>
          <t>4 - Khá quan tâm</t>
        </is>
      </c>
      <c r="G37" s="2" t="inlineStr">
        <is>
          <t>4 - Khá quan tâm</t>
        </is>
      </c>
      <c r="H37" s="2" t="inlineStr">
        <is>
          <t>4 - Khá quan tâm</t>
        </is>
      </c>
      <c r="I37" s="2" t="inlineStr">
        <is>
          <t>2 - Ít quan tâm</t>
        </is>
      </c>
      <c r="J37" s="2" t="inlineStr">
        <is>
          <t>3 - Bình thường</t>
        </is>
      </c>
      <c r="K37" s="2" t="inlineStr">
        <is>
          <t>4 - Khá quan tâm</t>
        </is>
      </c>
      <c r="L37" s="2" t="inlineStr">
        <is>
          <t>3 - Bình thường</t>
        </is>
      </c>
      <c r="M37" s="2" t="inlineStr">
        <is>
          <t>3 - Bình thường</t>
        </is>
      </c>
      <c r="N37" s="2" t="inlineStr"/>
      <c r="O37" s="2" t="inlineStr"/>
      <c r="P37" s="2" t="inlineStr"/>
      <c r="Q37" s="2" t="inlineStr"/>
      <c r="R37" s="2" t="inlineStr"/>
      <c r="S37" s="2" t="inlineStr"/>
      <c r="T37" s="2" t="inlineStr"/>
      <c r="U37" s="2" t="inlineStr"/>
      <c r="V37" s="2" t="inlineStr"/>
      <c r="W37" s="2" t="inlineStr">
        <is>
          <t>Không cần thiết</t>
        </is>
      </c>
      <c r="X37" s="2" t="inlineStr">
        <is>
          <t>Đi làm</t>
        </is>
      </c>
      <c r="Y37" s="2" t="inlineStr"/>
      <c r="Z37" s="2" t="inlineStr">
        <is>
          <t>Không</t>
        </is>
      </c>
      <c r="AA37" s="2" t="inlineStr">
        <is>
          <t>Không biết</t>
        </is>
      </c>
      <c r="AB37" s="2">
        <f>IFERROR(VALUE(LEFT(F37,1)),"")</f>
        <v/>
      </c>
      <c r="AC37" s="2">
        <f>IFERROR(VALUE(LEFT(G37,1)),"")</f>
        <v/>
      </c>
      <c r="AD37" s="2">
        <f>IFERROR(VALUE(LEFT(H37,1)),"")</f>
        <v/>
      </c>
      <c r="AE37" s="2">
        <f>IFERROR(VALUE(LEFT(I37,1)),"")</f>
        <v/>
      </c>
      <c r="AF37" s="2">
        <f>IFERROR(VALUE(LEFT(J37,1)),"")</f>
        <v/>
      </c>
      <c r="AG37" s="2">
        <f>IFERROR(VALUE(LEFT(K37,1)),"")</f>
        <v/>
      </c>
      <c r="AH37" s="2">
        <f>IFERROR(VALUE(LEFT(L37,1)),"")</f>
        <v/>
      </c>
      <c r="AI37" s="2">
        <f>IFERROR(VALUE(LEFT(M37,1)),"")</f>
        <v/>
      </c>
      <c r="AJ37" s="2">
        <f>IFERROR(VALUE(LEFT(N37,1)),"")</f>
        <v/>
      </c>
      <c r="AK37" s="2">
        <f>IFERROR(VALUE(LEFT(O37,1)),"")</f>
        <v/>
      </c>
      <c r="AL37" s="2">
        <f>IFERROR(VALUE(LEFT(P37,1)),"")</f>
        <v/>
      </c>
      <c r="AM37" s="2">
        <f>IFERROR(VALUE(LEFT(Q37,1)),"")</f>
        <v/>
      </c>
      <c r="AN37" s="2">
        <f>IFERROR(VALUE(LEFT(R37,1)),"")</f>
        <v/>
      </c>
      <c r="AO37" s="2">
        <f>IFERROR(VALUE(LEFT(S37,1)),"")</f>
        <v/>
      </c>
      <c r="AP37" s="2">
        <f>IFERROR(VALUE(LEFT(T37,1)),"")</f>
        <v/>
      </c>
      <c r="AQ37" s="2">
        <f>IFERROR(VALUE(LEFT(U37,1)),"")</f>
        <v/>
      </c>
    </row>
    <row r="38">
      <c r="A38" s="2" t="n">
        <v>37</v>
      </c>
      <c r="B38" s="2" t="inlineStr">
        <is>
          <t>Trường Đại học thuộc ĐHQG</t>
        </is>
      </c>
      <c r="C38" s="2" t="inlineStr">
        <is>
          <t>Sinh viên năm 3-4</t>
        </is>
      </c>
      <c r="D38" s="2" t="inlineStr"/>
      <c r="E38" s="2" t="inlineStr"/>
      <c r="F38" s="2" t="inlineStr">
        <is>
          <t>3 - Bình thường</t>
        </is>
      </c>
      <c r="G38" s="2" t="inlineStr">
        <is>
          <t>3 - Bình thường</t>
        </is>
      </c>
      <c r="H38" s="2" t="inlineStr">
        <is>
          <t>3 - Bình thường</t>
        </is>
      </c>
      <c r="I38" s="2" t="inlineStr">
        <is>
          <t>4 - Khá quan tâm</t>
        </is>
      </c>
      <c r="J38" s="2" t="inlineStr">
        <is>
          <t>4 - Khá quan tâm</t>
        </is>
      </c>
      <c r="K38" s="2" t="inlineStr">
        <is>
          <t>4 - Khá quan tâm</t>
        </is>
      </c>
      <c r="L38" s="2" t="inlineStr">
        <is>
          <t>3 - Bình thường</t>
        </is>
      </c>
      <c r="M38" s="2" t="inlineStr">
        <is>
          <t>4 - Khá quan tâm</t>
        </is>
      </c>
      <c r="N38" s="2" t="inlineStr"/>
      <c r="O38" s="2" t="inlineStr"/>
      <c r="P38" s="2" t="inlineStr"/>
      <c r="Q38" s="2" t="inlineStr"/>
      <c r="R38" s="2" t="inlineStr"/>
      <c r="S38" s="2" t="inlineStr"/>
      <c r="T38" s="2" t="inlineStr"/>
      <c r="U38" s="2" t="inlineStr"/>
      <c r="V38" s="2" t="inlineStr"/>
      <c r="W38" s="2" t="inlineStr">
        <is>
          <t>Có nhưng chỉ ngắn hạn (1–2 tháng)</t>
        </is>
      </c>
      <c r="X38" s="2" t="inlineStr">
        <is>
          <t>Đi làm</t>
        </is>
      </c>
      <c r="Y38" s="2" t="inlineStr"/>
      <c r="Z38" s="2" t="inlineStr">
        <is>
          <t>Có thể</t>
        </is>
      </c>
      <c r="AA38" s="2" t="inlineStr">
        <is>
          <t>Không có</t>
        </is>
      </c>
      <c r="AB38" s="2">
        <f>IFERROR(VALUE(LEFT(F38,1)),"")</f>
        <v/>
      </c>
      <c r="AC38" s="2">
        <f>IFERROR(VALUE(LEFT(G38,1)),"")</f>
        <v/>
      </c>
      <c r="AD38" s="2">
        <f>IFERROR(VALUE(LEFT(H38,1)),"")</f>
        <v/>
      </c>
      <c r="AE38" s="2">
        <f>IFERROR(VALUE(LEFT(I38,1)),"")</f>
        <v/>
      </c>
      <c r="AF38" s="2">
        <f>IFERROR(VALUE(LEFT(J38,1)),"")</f>
        <v/>
      </c>
      <c r="AG38" s="2">
        <f>IFERROR(VALUE(LEFT(K38,1)),"")</f>
        <v/>
      </c>
      <c r="AH38" s="2">
        <f>IFERROR(VALUE(LEFT(L38,1)),"")</f>
        <v/>
      </c>
      <c r="AI38" s="2">
        <f>IFERROR(VALUE(LEFT(M38,1)),"")</f>
        <v/>
      </c>
      <c r="AJ38" s="2">
        <f>IFERROR(VALUE(LEFT(N38,1)),"")</f>
        <v/>
      </c>
      <c r="AK38" s="2">
        <f>IFERROR(VALUE(LEFT(O38,1)),"")</f>
        <v/>
      </c>
      <c r="AL38" s="2">
        <f>IFERROR(VALUE(LEFT(P38,1)),"")</f>
        <v/>
      </c>
      <c r="AM38" s="2">
        <f>IFERROR(VALUE(LEFT(Q38,1)),"")</f>
        <v/>
      </c>
      <c r="AN38" s="2">
        <f>IFERROR(VALUE(LEFT(R38,1)),"")</f>
        <v/>
      </c>
      <c r="AO38" s="2">
        <f>IFERROR(VALUE(LEFT(S38,1)),"")</f>
        <v/>
      </c>
      <c r="AP38" s="2">
        <f>IFERROR(VALUE(LEFT(T38,1)),"")</f>
        <v/>
      </c>
      <c r="AQ38" s="2">
        <f>IFERROR(VALUE(LEFT(U38,1)),"")</f>
        <v/>
      </c>
    </row>
    <row r="39">
      <c r="A39" s="2" t="n">
        <v>38</v>
      </c>
      <c r="B39" s="2" t="inlineStr">
        <is>
          <t>Trường Đại học thuộc ĐHQG</t>
        </is>
      </c>
      <c r="C39" s="2" t="inlineStr">
        <is>
          <t>Sinh viên năm 3-4</t>
        </is>
      </c>
      <c r="D39" s="2" t="inlineStr"/>
      <c r="E39" s="2" t="inlineStr"/>
      <c r="F39" s="2" t="inlineStr">
        <is>
          <t>2 - Ít quan tâm</t>
        </is>
      </c>
      <c r="G39" s="2" t="inlineStr">
        <is>
          <t>3 - Bình thường</t>
        </is>
      </c>
      <c r="H39" s="2" t="inlineStr">
        <is>
          <t>1 - Hoàn toàn không quan tâm</t>
        </is>
      </c>
      <c r="I39" s="2" t="inlineStr">
        <is>
          <t>1 - Hoàn toàn không quan tâm</t>
        </is>
      </c>
      <c r="J39" s="2" t="inlineStr">
        <is>
          <t>3 - Bình thường</t>
        </is>
      </c>
      <c r="K39" s="2" t="inlineStr">
        <is>
          <t>3 - Bình thường</t>
        </is>
      </c>
      <c r="L39" s="2" t="inlineStr">
        <is>
          <t>3 - Bình thường</t>
        </is>
      </c>
      <c r="M39" s="2" t="inlineStr">
        <is>
          <t>2 - Ít quan tâm</t>
        </is>
      </c>
      <c r="N39" s="2" t="inlineStr"/>
      <c r="O39" s="2" t="inlineStr"/>
      <c r="P39" s="2" t="inlineStr"/>
      <c r="Q39" s="2" t="inlineStr"/>
      <c r="R39" s="2" t="inlineStr"/>
      <c r="S39" s="2" t="inlineStr"/>
      <c r="T39" s="2" t="inlineStr"/>
      <c r="U39" s="2" t="inlineStr"/>
      <c r="V39" s="2" t="inlineStr"/>
      <c r="W39" s="2" t="inlineStr">
        <is>
          <t>Có nhưng chỉ ngắn hạn (1–2 tháng)</t>
        </is>
      </c>
      <c r="X39" s="2" t="inlineStr">
        <is>
          <t>Đi làm</t>
        </is>
      </c>
      <c r="Y39" s="2" t="inlineStr"/>
      <c r="Z39" s="2" t="inlineStr">
        <is>
          <t>Có</t>
        </is>
      </c>
      <c r="AA39" s="2" t="inlineStr">
        <is>
          <t>Không | Không</t>
        </is>
      </c>
      <c r="AB39" s="2">
        <f>IFERROR(VALUE(LEFT(F39,1)),"")</f>
        <v/>
      </c>
      <c r="AC39" s="2">
        <f>IFERROR(VALUE(LEFT(G39,1)),"")</f>
        <v/>
      </c>
      <c r="AD39" s="2">
        <f>IFERROR(VALUE(LEFT(H39,1)),"")</f>
        <v/>
      </c>
      <c r="AE39" s="2">
        <f>IFERROR(VALUE(LEFT(I39,1)),"")</f>
        <v/>
      </c>
      <c r="AF39" s="2">
        <f>IFERROR(VALUE(LEFT(J39,1)),"")</f>
        <v/>
      </c>
      <c r="AG39" s="2">
        <f>IFERROR(VALUE(LEFT(K39,1)),"")</f>
        <v/>
      </c>
      <c r="AH39" s="2">
        <f>IFERROR(VALUE(LEFT(L39,1)),"")</f>
        <v/>
      </c>
      <c r="AI39" s="2">
        <f>IFERROR(VALUE(LEFT(M39,1)),"")</f>
        <v/>
      </c>
      <c r="AJ39" s="2">
        <f>IFERROR(VALUE(LEFT(N39,1)),"")</f>
        <v/>
      </c>
      <c r="AK39" s="2">
        <f>IFERROR(VALUE(LEFT(O39,1)),"")</f>
        <v/>
      </c>
      <c r="AL39" s="2">
        <f>IFERROR(VALUE(LEFT(P39,1)),"")</f>
        <v/>
      </c>
      <c r="AM39" s="2">
        <f>IFERROR(VALUE(LEFT(Q39,1)),"")</f>
        <v/>
      </c>
      <c r="AN39" s="2">
        <f>IFERROR(VALUE(LEFT(R39,1)),"")</f>
        <v/>
      </c>
      <c r="AO39" s="2">
        <f>IFERROR(VALUE(LEFT(S39,1)),"")</f>
        <v/>
      </c>
      <c r="AP39" s="2">
        <f>IFERROR(VALUE(LEFT(T39,1)),"")</f>
        <v/>
      </c>
      <c r="AQ39" s="2">
        <f>IFERROR(VALUE(LEFT(U39,1)),"")</f>
        <v/>
      </c>
    </row>
    <row r="40">
      <c r="A40" s="2" t="n">
        <v>39</v>
      </c>
      <c r="B40" s="2" t="inlineStr">
        <is>
          <t>Trường Đại học thuộc ĐHQG</t>
        </is>
      </c>
      <c r="C40" s="2" t="inlineStr">
        <is>
          <t>Cựu sinh viên</t>
        </is>
      </c>
      <c r="D40" s="2" t="inlineStr">
        <is>
          <t>Không</t>
        </is>
      </c>
      <c r="E40" s="2" t="inlineStr">
        <is>
          <t>Có nhưng phải che bớt thông tin</t>
        </is>
      </c>
      <c r="F40" s="2" t="inlineStr"/>
      <c r="G40" s="2" t="inlineStr"/>
      <c r="H40" s="2" t="inlineStr"/>
      <c r="I40" s="2" t="inlineStr"/>
      <c r="J40" s="2" t="inlineStr"/>
      <c r="K40" s="2" t="inlineStr"/>
      <c r="L40" s="2" t="inlineStr"/>
      <c r="M40" s="2" t="inlineStr"/>
      <c r="N40" s="2" t="inlineStr">
        <is>
          <t>2.0</t>
        </is>
      </c>
      <c r="O40" s="2" t="inlineStr">
        <is>
          <t>2.0</t>
        </is>
      </c>
      <c r="P40" s="2" t="inlineStr">
        <is>
          <t>2.0</t>
        </is>
      </c>
      <c r="Q40" s="2" t="inlineStr">
        <is>
          <t>3.0</t>
        </is>
      </c>
      <c r="R40" s="2" t="inlineStr">
        <is>
          <t>3.0</t>
        </is>
      </c>
      <c r="S40" s="2" t="inlineStr">
        <is>
          <t>2.0</t>
        </is>
      </c>
      <c r="T40" s="2" t="inlineStr">
        <is>
          <t>2.0</t>
        </is>
      </c>
      <c r="U40" s="2" t="inlineStr">
        <is>
          <t>2.0</t>
        </is>
      </c>
      <c r="V40" s="2" t="inlineStr">
        <is>
          <t>Chưa chắc chắn (cần tìm hiểu thêm)</t>
        </is>
      </c>
      <c r="W40" s="2" t="inlineStr"/>
      <c r="X40" s="2" t="inlineStr"/>
      <c r="Y40" s="2" t="inlineStr">
        <is>
          <t>Chia sẻ tài liệu, template, kinh nghiệm viết CV, portfolio</t>
        </is>
      </c>
      <c r="Z40" s="2" t="inlineStr"/>
      <c r="AA40" s="2" t="inlineStr">
        <is>
          <t>Cũng mún cho các mentor connect vs nhau để mở rộng networking</t>
        </is>
      </c>
      <c r="AB40" s="2">
        <f>IFERROR(VALUE(LEFT(F40,1)),"")</f>
        <v/>
      </c>
      <c r="AC40" s="2">
        <f>IFERROR(VALUE(LEFT(G40,1)),"")</f>
        <v/>
      </c>
      <c r="AD40" s="2">
        <f>IFERROR(VALUE(LEFT(H40,1)),"")</f>
        <v/>
      </c>
      <c r="AE40" s="2">
        <f>IFERROR(VALUE(LEFT(I40,1)),"")</f>
        <v/>
      </c>
      <c r="AF40" s="2">
        <f>IFERROR(VALUE(LEFT(J40,1)),"")</f>
        <v/>
      </c>
      <c r="AG40" s="2">
        <f>IFERROR(VALUE(LEFT(K40,1)),"")</f>
        <v/>
      </c>
      <c r="AH40" s="2">
        <f>IFERROR(VALUE(LEFT(L40,1)),"")</f>
        <v/>
      </c>
      <c r="AI40" s="2">
        <f>IFERROR(VALUE(LEFT(M40,1)),"")</f>
        <v/>
      </c>
      <c r="AJ40" s="2">
        <f>IFERROR(VALUE(LEFT(N40,1)),"")</f>
        <v/>
      </c>
      <c r="AK40" s="2">
        <f>IFERROR(VALUE(LEFT(O40,1)),"")</f>
        <v/>
      </c>
      <c r="AL40" s="2">
        <f>IFERROR(VALUE(LEFT(P40,1)),"")</f>
        <v/>
      </c>
      <c r="AM40" s="2">
        <f>IFERROR(VALUE(LEFT(Q40,1)),"")</f>
        <v/>
      </c>
      <c r="AN40" s="2">
        <f>IFERROR(VALUE(LEFT(R40,1)),"")</f>
        <v/>
      </c>
      <c r="AO40" s="2">
        <f>IFERROR(VALUE(LEFT(S40,1)),"")</f>
        <v/>
      </c>
      <c r="AP40" s="2">
        <f>IFERROR(VALUE(LEFT(T40,1)),"")</f>
        <v/>
      </c>
      <c r="AQ40" s="2">
        <f>IFERROR(VALUE(LEFT(U40,1)),"")</f>
        <v/>
      </c>
    </row>
    <row r="41">
      <c r="A41" s="2" t="n">
        <v>40</v>
      </c>
      <c r="B41" s="2" t="inlineStr">
        <is>
          <t>Trường Đại học thuộc ĐHQG</t>
        </is>
      </c>
      <c r="C41" s="2" t="inlineStr">
        <is>
          <t>Sinh viên năm 3-4</t>
        </is>
      </c>
      <c r="D41" s="2" t="inlineStr"/>
      <c r="E41" s="2" t="inlineStr"/>
      <c r="F41" s="2" t="inlineStr">
        <is>
          <t>1 - Hoàn toàn không quan tâm</t>
        </is>
      </c>
      <c r="G41" s="2" t="inlineStr">
        <is>
          <t>2 - Ít quan tâm</t>
        </is>
      </c>
      <c r="H41" s="2" t="inlineStr">
        <is>
          <t>4 - Khá quan tâm</t>
        </is>
      </c>
      <c r="I41" s="2" t="inlineStr">
        <is>
          <t>3 - Bình thường</t>
        </is>
      </c>
      <c r="J41" s="2" t="inlineStr">
        <is>
          <t>4 - Khá quan tâm</t>
        </is>
      </c>
      <c r="K41" s="2" t="inlineStr">
        <is>
          <t>5 - Rất quan tâm</t>
        </is>
      </c>
      <c r="L41" s="2" t="inlineStr">
        <is>
          <t>5 - Rất quan tâm</t>
        </is>
      </c>
      <c r="M41" s="2" t="inlineStr">
        <is>
          <t>3 - Bình thường</t>
        </is>
      </c>
      <c r="N41" s="2" t="inlineStr"/>
      <c r="O41" s="2" t="inlineStr"/>
      <c r="P41" s="2" t="inlineStr"/>
      <c r="Q41" s="2" t="inlineStr"/>
      <c r="R41" s="2" t="inlineStr"/>
      <c r="S41" s="2" t="inlineStr"/>
      <c r="T41" s="2" t="inlineStr"/>
      <c r="U41" s="2" t="inlineStr"/>
      <c r="V41" s="2" t="inlineStr"/>
      <c r="W41" s="2" t="inlineStr">
        <is>
          <t>Không cần thiết</t>
        </is>
      </c>
      <c r="X41" s="2" t="inlineStr">
        <is>
          <t>Đi làm</t>
        </is>
      </c>
      <c r="Y41" s="2" t="inlineStr"/>
      <c r="Z41" s="2" t="inlineStr">
        <is>
          <t>Không</t>
        </is>
      </c>
      <c r="AA41" s="2" t="inlineStr">
        <is>
          <t>Không có</t>
        </is>
      </c>
      <c r="AB41" s="2">
        <f>IFERROR(VALUE(LEFT(F41,1)),"")</f>
        <v/>
      </c>
      <c r="AC41" s="2">
        <f>IFERROR(VALUE(LEFT(G41,1)),"")</f>
        <v/>
      </c>
      <c r="AD41" s="2">
        <f>IFERROR(VALUE(LEFT(H41,1)),"")</f>
        <v/>
      </c>
      <c r="AE41" s="2">
        <f>IFERROR(VALUE(LEFT(I41,1)),"")</f>
        <v/>
      </c>
      <c r="AF41" s="2">
        <f>IFERROR(VALUE(LEFT(J41,1)),"")</f>
        <v/>
      </c>
      <c r="AG41" s="2">
        <f>IFERROR(VALUE(LEFT(K41,1)),"")</f>
        <v/>
      </c>
      <c r="AH41" s="2">
        <f>IFERROR(VALUE(LEFT(L41,1)),"")</f>
        <v/>
      </c>
      <c r="AI41" s="2">
        <f>IFERROR(VALUE(LEFT(M41,1)),"")</f>
        <v/>
      </c>
      <c r="AJ41" s="2">
        <f>IFERROR(VALUE(LEFT(N41,1)),"")</f>
        <v/>
      </c>
      <c r="AK41" s="2">
        <f>IFERROR(VALUE(LEFT(O41,1)),"")</f>
        <v/>
      </c>
      <c r="AL41" s="2">
        <f>IFERROR(VALUE(LEFT(P41,1)),"")</f>
        <v/>
      </c>
      <c r="AM41" s="2">
        <f>IFERROR(VALUE(LEFT(Q41,1)),"")</f>
        <v/>
      </c>
      <c r="AN41" s="2">
        <f>IFERROR(VALUE(LEFT(R41,1)),"")</f>
        <v/>
      </c>
      <c r="AO41" s="2">
        <f>IFERROR(VALUE(LEFT(S41,1)),"")</f>
        <v/>
      </c>
      <c r="AP41" s="2">
        <f>IFERROR(VALUE(LEFT(T41,1)),"")</f>
        <v/>
      </c>
      <c r="AQ41" s="2">
        <f>IFERROR(VALUE(LEFT(U41,1)),"")</f>
        <v/>
      </c>
    </row>
    <row r="42">
      <c r="A42" s="2" t="n">
        <v>41</v>
      </c>
      <c r="B42" s="2" t="inlineStr">
        <is>
          <t>Trường Đại học thuộc ĐHQG</t>
        </is>
      </c>
      <c r="C42" s="2" t="inlineStr">
        <is>
          <t>Cựu sinh viên</t>
        </is>
      </c>
      <c r="D42" s="2" t="inlineStr">
        <is>
          <t>Có</t>
        </is>
      </c>
      <c r="E42" s="2" t="inlineStr">
        <is>
          <t>Có nhưng phải che bớt thông tin</t>
        </is>
      </c>
      <c r="F42" s="2" t="inlineStr"/>
      <c r="G42" s="2" t="inlineStr"/>
      <c r="H42" s="2" t="inlineStr"/>
      <c r="I42" s="2" t="inlineStr"/>
      <c r="J42" s="2" t="inlineStr"/>
      <c r="K42" s="2" t="inlineStr"/>
      <c r="L42" s="2" t="inlineStr"/>
      <c r="M42" s="2" t="inlineStr"/>
      <c r="N42" s="2" t="inlineStr">
        <is>
          <t>4.0</t>
        </is>
      </c>
      <c r="O42" s="2" t="inlineStr">
        <is>
          <t>3.0</t>
        </is>
      </c>
      <c r="P42" s="2" t="inlineStr">
        <is>
          <t>4.0</t>
        </is>
      </c>
      <c r="Q42" s="2" t="inlineStr">
        <is>
          <t>5.0</t>
        </is>
      </c>
      <c r="R42" s="2" t="inlineStr">
        <is>
          <t>5.0</t>
        </is>
      </c>
      <c r="S42" s="2" t="inlineStr">
        <is>
          <t>4.0</t>
        </is>
      </c>
      <c r="T42" s="2" t="inlineStr">
        <is>
          <t>4.0</t>
        </is>
      </c>
      <c r="U42" s="2" t="inlineStr">
        <is>
          <t>5.0</t>
        </is>
      </c>
      <c r="V42" s="2" t="inlineStr">
        <is>
          <t>Chưa chắc chắn (cần tìm hiểu thêm)</t>
        </is>
      </c>
      <c r="W42" s="2" t="inlineStr"/>
      <c r="X42" s="2" t="inlineStr"/>
      <c r="Y42" s="2" t="inlineStr">
        <is>
          <t>Diễn đàn chia sẻ / Q&amp;A</t>
        </is>
      </c>
      <c r="Z42" s="2" t="inlineStr"/>
      <c r="AA42" s="2" t="inlineStr">
        <is>
          <t>Chia group để mentor làm với các mentee cùng chí hướng</t>
        </is>
      </c>
      <c r="AB42" s="2">
        <f>IFERROR(VALUE(LEFT(F42,1)),"")</f>
        <v/>
      </c>
      <c r="AC42" s="2">
        <f>IFERROR(VALUE(LEFT(G42,1)),"")</f>
        <v/>
      </c>
      <c r="AD42" s="2">
        <f>IFERROR(VALUE(LEFT(H42,1)),"")</f>
        <v/>
      </c>
      <c r="AE42" s="2">
        <f>IFERROR(VALUE(LEFT(I42,1)),"")</f>
        <v/>
      </c>
      <c r="AF42" s="2">
        <f>IFERROR(VALUE(LEFT(J42,1)),"")</f>
        <v/>
      </c>
      <c r="AG42" s="2">
        <f>IFERROR(VALUE(LEFT(K42,1)),"")</f>
        <v/>
      </c>
      <c r="AH42" s="2">
        <f>IFERROR(VALUE(LEFT(L42,1)),"")</f>
        <v/>
      </c>
      <c r="AI42" s="2">
        <f>IFERROR(VALUE(LEFT(M42,1)),"")</f>
        <v/>
      </c>
      <c r="AJ42" s="2">
        <f>IFERROR(VALUE(LEFT(N42,1)),"")</f>
        <v/>
      </c>
      <c r="AK42" s="2">
        <f>IFERROR(VALUE(LEFT(O42,1)),"")</f>
        <v/>
      </c>
      <c r="AL42" s="2">
        <f>IFERROR(VALUE(LEFT(P42,1)),"")</f>
        <v/>
      </c>
      <c r="AM42" s="2">
        <f>IFERROR(VALUE(LEFT(Q42,1)),"")</f>
        <v/>
      </c>
      <c r="AN42" s="2">
        <f>IFERROR(VALUE(LEFT(R42,1)),"")</f>
        <v/>
      </c>
      <c r="AO42" s="2">
        <f>IFERROR(VALUE(LEFT(S42,1)),"")</f>
        <v/>
      </c>
      <c r="AP42" s="2">
        <f>IFERROR(VALUE(LEFT(T42,1)),"")</f>
        <v/>
      </c>
      <c r="AQ42" s="2">
        <f>IFERROR(VALUE(LEFT(U42,1)),"")</f>
        <v/>
      </c>
    </row>
    <row r="43">
      <c r="A43" s="2" t="n">
        <v>42</v>
      </c>
      <c r="B43" s="2" t="inlineStr">
        <is>
          <t>Trường Đại học thuộc ĐHQG</t>
        </is>
      </c>
      <c r="C43" s="2" t="inlineStr">
        <is>
          <t>Cựu sinh viên</t>
        </is>
      </c>
      <c r="D43" s="2" t="inlineStr">
        <is>
          <t>Không</t>
        </is>
      </c>
      <c r="E43" s="2" t="inlineStr">
        <is>
          <t>Có nhưng phải che bớt thông tin</t>
        </is>
      </c>
      <c r="F43" s="2" t="inlineStr"/>
      <c r="G43" s="2" t="inlineStr"/>
      <c r="H43" s="2" t="inlineStr"/>
      <c r="I43" s="2" t="inlineStr"/>
      <c r="J43" s="2" t="inlineStr"/>
      <c r="K43" s="2" t="inlineStr"/>
      <c r="L43" s="2" t="inlineStr"/>
      <c r="M43" s="2" t="inlineStr"/>
      <c r="N43" s="2" t="inlineStr">
        <is>
          <t>3.0</t>
        </is>
      </c>
      <c r="O43" s="2" t="inlineStr">
        <is>
          <t>5.0</t>
        </is>
      </c>
      <c r="P43" s="2" t="inlineStr">
        <is>
          <t>5.0</t>
        </is>
      </c>
      <c r="Q43" s="2" t="inlineStr">
        <is>
          <t>5.0</t>
        </is>
      </c>
      <c r="R43" s="2" t="inlineStr">
        <is>
          <t>5.0</t>
        </is>
      </c>
      <c r="S43" s="2" t="inlineStr">
        <is>
          <t>5.0</t>
        </is>
      </c>
      <c r="T43" s="2" t="inlineStr">
        <is>
          <t>4.0</t>
        </is>
      </c>
      <c r="U43" s="2" t="inlineStr">
        <is>
          <t>4.0</t>
        </is>
      </c>
      <c r="V43" s="2" t="inlineStr">
        <is>
          <t>Có, nhưng giới hạn thời gian</t>
        </is>
      </c>
      <c r="W43" s="2" t="inlineStr"/>
      <c r="X43" s="2" t="inlineStr"/>
      <c r="Y43" s="2" t="inlineStr">
        <is>
          <t>Workshop nhóm nhỏ</t>
        </is>
      </c>
      <c r="Z43" s="2" t="inlineStr"/>
      <c r="AA43" s="2" t="inlineStr">
        <is>
          <t>match bởi sở thích, tạo hoạt động, sự kiện chung</t>
        </is>
      </c>
      <c r="AB43" s="2">
        <f>IFERROR(VALUE(LEFT(F43,1)),"")</f>
        <v/>
      </c>
      <c r="AC43" s="2">
        <f>IFERROR(VALUE(LEFT(G43,1)),"")</f>
        <v/>
      </c>
      <c r="AD43" s="2">
        <f>IFERROR(VALUE(LEFT(H43,1)),"")</f>
        <v/>
      </c>
      <c r="AE43" s="2">
        <f>IFERROR(VALUE(LEFT(I43,1)),"")</f>
        <v/>
      </c>
      <c r="AF43" s="2">
        <f>IFERROR(VALUE(LEFT(J43,1)),"")</f>
        <v/>
      </c>
      <c r="AG43" s="2">
        <f>IFERROR(VALUE(LEFT(K43,1)),"")</f>
        <v/>
      </c>
      <c r="AH43" s="2">
        <f>IFERROR(VALUE(LEFT(L43,1)),"")</f>
        <v/>
      </c>
      <c r="AI43" s="2">
        <f>IFERROR(VALUE(LEFT(M43,1)),"")</f>
        <v/>
      </c>
      <c r="AJ43" s="2">
        <f>IFERROR(VALUE(LEFT(N43,1)),"")</f>
        <v/>
      </c>
      <c r="AK43" s="2">
        <f>IFERROR(VALUE(LEFT(O43,1)),"")</f>
        <v/>
      </c>
      <c r="AL43" s="2">
        <f>IFERROR(VALUE(LEFT(P43,1)),"")</f>
        <v/>
      </c>
      <c r="AM43" s="2">
        <f>IFERROR(VALUE(LEFT(Q43,1)),"")</f>
        <v/>
      </c>
      <c r="AN43" s="2">
        <f>IFERROR(VALUE(LEFT(R43,1)),"")</f>
        <v/>
      </c>
      <c r="AO43" s="2">
        <f>IFERROR(VALUE(LEFT(S43,1)),"")</f>
        <v/>
      </c>
      <c r="AP43" s="2">
        <f>IFERROR(VALUE(LEFT(T43,1)),"")</f>
        <v/>
      </c>
      <c r="AQ43" s="2">
        <f>IFERROR(VALUE(LEFT(U43,1)),"")</f>
        <v/>
      </c>
    </row>
    <row r="44">
      <c r="A44" s="2" t="n">
        <v>43</v>
      </c>
      <c r="B44" s="2" t="inlineStr">
        <is>
          <t>Trường Đại học thuộc ĐHQG</t>
        </is>
      </c>
      <c r="C44" s="2" t="inlineStr">
        <is>
          <t>Cựu sinh viên</t>
        </is>
      </c>
      <c r="D44" s="2" t="inlineStr">
        <is>
          <t>Không</t>
        </is>
      </c>
      <c r="E44" s="2" t="inlineStr">
        <is>
          <t>Không</t>
        </is>
      </c>
      <c r="F44" s="2" t="inlineStr"/>
      <c r="G44" s="2" t="inlineStr"/>
      <c r="H44" s="2" t="inlineStr"/>
      <c r="I44" s="2" t="inlineStr"/>
      <c r="J44" s="2" t="inlineStr"/>
      <c r="K44" s="2" t="inlineStr"/>
      <c r="L44" s="2" t="inlineStr"/>
      <c r="M44" s="2" t="inlineStr"/>
      <c r="N44" s="2" t="inlineStr">
        <is>
          <t>4.0</t>
        </is>
      </c>
      <c r="O44" s="2" t="inlineStr">
        <is>
          <t>4.0</t>
        </is>
      </c>
      <c r="P44" s="2" t="inlineStr">
        <is>
          <t>3.0</t>
        </is>
      </c>
      <c r="Q44" s="2" t="inlineStr">
        <is>
          <t>2.0</t>
        </is>
      </c>
      <c r="R44" s="2" t="inlineStr">
        <is>
          <t>5.0</t>
        </is>
      </c>
      <c r="S44" s="2" t="inlineStr">
        <is>
          <t>3.0</t>
        </is>
      </c>
      <c r="T44" s="2" t="inlineStr">
        <is>
          <t>3.0</t>
        </is>
      </c>
      <c r="U44" s="2" t="inlineStr">
        <is>
          <t>2.0</t>
        </is>
      </c>
      <c r="V44" s="2" t="inlineStr">
        <is>
          <t>Chưa chắc chắn (cần tìm hiểu thêm)</t>
        </is>
      </c>
      <c r="W44" s="2" t="inlineStr"/>
      <c r="X44" s="2" t="inlineStr"/>
      <c r="Y44" s="2" t="inlineStr">
        <is>
          <t>Workshop nhóm nhỏ</t>
        </is>
      </c>
      <c r="Z44" s="2" t="inlineStr"/>
      <c r="AA44" s="2" t="inlineStr">
        <is>
          <t>Do mình cũng chưa xài thử nền tảng nào giống v nên mình cũng ko biết nên gợi ý thêm gì. Có thể có chế độ ẩn danh cho người dùng để trả lời thoải mái hơn</t>
        </is>
      </c>
      <c r="AB44" s="2">
        <f>IFERROR(VALUE(LEFT(F44,1)),"")</f>
        <v/>
      </c>
      <c r="AC44" s="2">
        <f>IFERROR(VALUE(LEFT(G44,1)),"")</f>
        <v/>
      </c>
      <c r="AD44" s="2">
        <f>IFERROR(VALUE(LEFT(H44,1)),"")</f>
        <v/>
      </c>
      <c r="AE44" s="2">
        <f>IFERROR(VALUE(LEFT(I44,1)),"")</f>
        <v/>
      </c>
      <c r="AF44" s="2">
        <f>IFERROR(VALUE(LEFT(J44,1)),"")</f>
        <v/>
      </c>
      <c r="AG44" s="2">
        <f>IFERROR(VALUE(LEFT(K44,1)),"")</f>
        <v/>
      </c>
      <c r="AH44" s="2">
        <f>IFERROR(VALUE(LEFT(L44,1)),"")</f>
        <v/>
      </c>
      <c r="AI44" s="2">
        <f>IFERROR(VALUE(LEFT(M44,1)),"")</f>
        <v/>
      </c>
      <c r="AJ44" s="2">
        <f>IFERROR(VALUE(LEFT(N44,1)),"")</f>
        <v/>
      </c>
      <c r="AK44" s="2">
        <f>IFERROR(VALUE(LEFT(O44,1)),"")</f>
        <v/>
      </c>
      <c r="AL44" s="2">
        <f>IFERROR(VALUE(LEFT(P44,1)),"")</f>
        <v/>
      </c>
      <c r="AM44" s="2">
        <f>IFERROR(VALUE(LEFT(Q44,1)),"")</f>
        <v/>
      </c>
      <c r="AN44" s="2">
        <f>IFERROR(VALUE(LEFT(R44,1)),"")</f>
        <v/>
      </c>
      <c r="AO44" s="2">
        <f>IFERROR(VALUE(LEFT(S44,1)),"")</f>
        <v/>
      </c>
      <c r="AP44" s="2">
        <f>IFERROR(VALUE(LEFT(T44,1)),"")</f>
        <v/>
      </c>
      <c r="AQ44" s="2">
        <f>IFERROR(VALUE(LEFT(U44,1)),"")</f>
        <v/>
      </c>
    </row>
    <row r="45">
      <c r="A45" s="2" t="n">
        <v>44</v>
      </c>
      <c r="B45" s="2" t="inlineStr">
        <is>
          <t>Trường Đại học thuộc ĐHQG</t>
        </is>
      </c>
      <c r="C45" s="2" t="inlineStr">
        <is>
          <t>Cựu sinh viên</t>
        </is>
      </c>
      <c r="D45" s="2" t="inlineStr">
        <is>
          <t>Không</t>
        </is>
      </c>
      <c r="E45" s="2" t="inlineStr">
        <is>
          <t>Có nhưng phải che bớt thông tin</t>
        </is>
      </c>
      <c r="F45" s="2" t="inlineStr"/>
      <c r="G45" s="2" t="inlineStr"/>
      <c r="H45" s="2" t="inlineStr"/>
      <c r="I45" s="2" t="inlineStr"/>
      <c r="J45" s="2" t="inlineStr"/>
      <c r="K45" s="2" t="inlineStr"/>
      <c r="L45" s="2" t="inlineStr"/>
      <c r="M45" s="2" t="inlineStr"/>
      <c r="N45" s="2" t="inlineStr">
        <is>
          <t>3.0</t>
        </is>
      </c>
      <c r="O45" s="2" t="inlineStr">
        <is>
          <t>4.0</t>
        </is>
      </c>
      <c r="P45" s="2" t="inlineStr">
        <is>
          <t>4.0</t>
        </is>
      </c>
      <c r="Q45" s="2" t="inlineStr">
        <is>
          <t>5.0</t>
        </is>
      </c>
      <c r="R45" s="2" t="inlineStr">
        <is>
          <t>5.0</t>
        </is>
      </c>
      <c r="S45" s="2" t="inlineStr">
        <is>
          <t>5.0</t>
        </is>
      </c>
      <c r="T45" s="2" t="inlineStr">
        <is>
          <t>4.0</t>
        </is>
      </c>
      <c r="U45" s="2" t="inlineStr">
        <is>
          <t>1.0</t>
        </is>
      </c>
      <c r="V45" s="2" t="inlineStr">
        <is>
          <t>Chưa chắc chắn (cần tìm hiểu thêm)</t>
        </is>
      </c>
      <c r="W45" s="2" t="inlineStr"/>
      <c r="X45" s="2" t="inlineStr"/>
      <c r="Y45" s="2" t="inlineStr">
        <is>
          <t>Chia sẻ tài liệu, template, kinh nghiệm viết CV, portfolio</t>
        </is>
      </c>
      <c r="Z45" s="2" t="inlineStr"/>
      <c r="AA45" s="2" t="inlineStr">
        <is>
          <t>Hmm... các tính năng nhóm nêu đã rất là đầy đủ và oke rùi, anh khom có góp ý gì thêm nha</t>
        </is>
      </c>
      <c r="AB45" s="2">
        <f>IFERROR(VALUE(LEFT(F45,1)),"")</f>
        <v/>
      </c>
      <c r="AC45" s="2">
        <f>IFERROR(VALUE(LEFT(G45,1)),"")</f>
        <v/>
      </c>
      <c r="AD45" s="2">
        <f>IFERROR(VALUE(LEFT(H45,1)),"")</f>
        <v/>
      </c>
      <c r="AE45" s="2">
        <f>IFERROR(VALUE(LEFT(I45,1)),"")</f>
        <v/>
      </c>
      <c r="AF45" s="2">
        <f>IFERROR(VALUE(LEFT(J45,1)),"")</f>
        <v/>
      </c>
      <c r="AG45" s="2">
        <f>IFERROR(VALUE(LEFT(K45,1)),"")</f>
        <v/>
      </c>
      <c r="AH45" s="2">
        <f>IFERROR(VALUE(LEFT(L45,1)),"")</f>
        <v/>
      </c>
      <c r="AI45" s="2">
        <f>IFERROR(VALUE(LEFT(M45,1)),"")</f>
        <v/>
      </c>
      <c r="AJ45" s="2">
        <f>IFERROR(VALUE(LEFT(N45,1)),"")</f>
        <v/>
      </c>
      <c r="AK45" s="2">
        <f>IFERROR(VALUE(LEFT(O45,1)),"")</f>
        <v/>
      </c>
      <c r="AL45" s="2">
        <f>IFERROR(VALUE(LEFT(P45,1)),"")</f>
        <v/>
      </c>
      <c r="AM45" s="2">
        <f>IFERROR(VALUE(LEFT(Q45,1)),"")</f>
        <v/>
      </c>
      <c r="AN45" s="2">
        <f>IFERROR(VALUE(LEFT(R45,1)),"")</f>
        <v/>
      </c>
      <c r="AO45" s="2">
        <f>IFERROR(VALUE(LEFT(S45,1)),"")</f>
        <v/>
      </c>
      <c r="AP45" s="2">
        <f>IFERROR(VALUE(LEFT(T45,1)),"")</f>
        <v/>
      </c>
      <c r="AQ45" s="2">
        <f>IFERROR(VALUE(LEFT(U45,1)),"")</f>
        <v/>
      </c>
    </row>
    <row r="46">
      <c r="A46" s="2" t="n">
        <v>45</v>
      </c>
      <c r="B46" s="2" t="inlineStr">
        <is>
          <t>Trường Đại học thuộc ĐHQG</t>
        </is>
      </c>
      <c r="C46" s="2" t="inlineStr">
        <is>
          <t>Cựu sinh viên</t>
        </is>
      </c>
      <c r="D46" s="2" t="inlineStr">
        <is>
          <t>Có</t>
        </is>
      </c>
      <c r="E46" s="2" t="inlineStr">
        <is>
          <t>Không</t>
        </is>
      </c>
      <c r="F46" s="2" t="inlineStr"/>
      <c r="G46" s="2" t="inlineStr"/>
      <c r="H46" s="2" t="inlineStr"/>
      <c r="I46" s="2" t="inlineStr"/>
      <c r="J46" s="2" t="inlineStr"/>
      <c r="K46" s="2" t="inlineStr"/>
      <c r="L46" s="2" t="inlineStr"/>
      <c r="M46" s="2" t="inlineStr"/>
      <c r="N46" s="2" t="inlineStr">
        <is>
          <t>2.0</t>
        </is>
      </c>
      <c r="O46" s="2" t="inlineStr">
        <is>
          <t>4.0</t>
        </is>
      </c>
      <c r="P46" s="2" t="inlineStr">
        <is>
          <t>4.0</t>
        </is>
      </c>
      <c r="Q46" s="2" t="inlineStr">
        <is>
          <t>3.0</t>
        </is>
      </c>
      <c r="R46" s="2" t="inlineStr">
        <is>
          <t>5.0</t>
        </is>
      </c>
      <c r="S46" s="2" t="inlineStr">
        <is>
          <t>3.0</t>
        </is>
      </c>
      <c r="T46" s="2" t="inlineStr">
        <is>
          <t>4.0</t>
        </is>
      </c>
      <c r="U46" s="2" t="inlineStr">
        <is>
          <t>2.0</t>
        </is>
      </c>
      <c r="V46" s="2" t="inlineStr">
        <is>
          <t>Chưa chắc chắn (cần tìm hiểu thêm)</t>
        </is>
      </c>
      <c r="W46" s="2" t="inlineStr"/>
      <c r="X46" s="2" t="inlineStr"/>
      <c r="Y46" s="2" t="inlineStr">
        <is>
          <t>Chia sẻ tài liệu, template, kinh nghiệm viết CV, portfolio</t>
        </is>
      </c>
      <c r="Z46" s="2" t="inlineStr"/>
      <c r="AA46" s="2" t="inlineStr">
        <is>
          <t>C chưa nghĩ ra</t>
        </is>
      </c>
      <c r="AB46" s="2">
        <f>IFERROR(VALUE(LEFT(F46,1)),"")</f>
        <v/>
      </c>
      <c r="AC46" s="2">
        <f>IFERROR(VALUE(LEFT(G46,1)),"")</f>
        <v/>
      </c>
      <c r="AD46" s="2">
        <f>IFERROR(VALUE(LEFT(H46,1)),"")</f>
        <v/>
      </c>
      <c r="AE46" s="2">
        <f>IFERROR(VALUE(LEFT(I46,1)),"")</f>
        <v/>
      </c>
      <c r="AF46" s="2">
        <f>IFERROR(VALUE(LEFT(J46,1)),"")</f>
        <v/>
      </c>
      <c r="AG46" s="2">
        <f>IFERROR(VALUE(LEFT(K46,1)),"")</f>
        <v/>
      </c>
      <c r="AH46" s="2">
        <f>IFERROR(VALUE(LEFT(L46,1)),"")</f>
        <v/>
      </c>
      <c r="AI46" s="2">
        <f>IFERROR(VALUE(LEFT(M46,1)),"")</f>
        <v/>
      </c>
      <c r="AJ46" s="2">
        <f>IFERROR(VALUE(LEFT(N46,1)),"")</f>
        <v/>
      </c>
      <c r="AK46" s="2">
        <f>IFERROR(VALUE(LEFT(O46,1)),"")</f>
        <v/>
      </c>
      <c r="AL46" s="2">
        <f>IFERROR(VALUE(LEFT(P46,1)),"")</f>
        <v/>
      </c>
      <c r="AM46" s="2">
        <f>IFERROR(VALUE(LEFT(Q46,1)),"")</f>
        <v/>
      </c>
      <c r="AN46" s="2">
        <f>IFERROR(VALUE(LEFT(R46,1)),"")</f>
        <v/>
      </c>
      <c r="AO46" s="2">
        <f>IFERROR(VALUE(LEFT(S46,1)),"")</f>
        <v/>
      </c>
      <c r="AP46" s="2">
        <f>IFERROR(VALUE(LEFT(T46,1)),"")</f>
        <v/>
      </c>
      <c r="AQ46" s="2">
        <f>IFERROR(VALUE(LEFT(U46,1)),"")</f>
        <v/>
      </c>
    </row>
    <row r="47">
      <c r="A47" s="2" t="n">
        <v>46</v>
      </c>
      <c r="B47" s="2" t="inlineStr">
        <is>
          <t>Trường Đại học ngoài ĐHQG tại Việt Nam</t>
        </is>
      </c>
      <c r="C47" s="2" t="inlineStr">
        <is>
          <t>Sinh viên năm 3-4</t>
        </is>
      </c>
      <c r="D47" s="2" t="inlineStr"/>
      <c r="E47" s="2" t="inlineStr"/>
      <c r="F47" s="2" t="inlineStr">
        <is>
          <t>5 - Rất quan tâm</t>
        </is>
      </c>
      <c r="G47" s="2" t="inlineStr">
        <is>
          <t>5 - Rất quan tâm</t>
        </is>
      </c>
      <c r="H47" s="2" t="inlineStr">
        <is>
          <t>4 - Khá quan tâm</t>
        </is>
      </c>
      <c r="I47" s="2" t="inlineStr">
        <is>
          <t>4 - Khá quan tâm</t>
        </is>
      </c>
      <c r="J47" s="2" t="inlineStr">
        <is>
          <t>5 - Rất quan tâm</t>
        </is>
      </c>
      <c r="K47" s="2" t="inlineStr">
        <is>
          <t>5 - Rất quan tâm</t>
        </is>
      </c>
      <c r="L47" s="2" t="inlineStr">
        <is>
          <t>5 - Rất quan tâm</t>
        </is>
      </c>
      <c r="M47" s="2" t="inlineStr">
        <is>
          <t>4 - Khá quan tâm</t>
        </is>
      </c>
      <c r="N47" s="2" t="inlineStr"/>
      <c r="O47" s="2" t="inlineStr"/>
      <c r="P47" s="2" t="inlineStr"/>
      <c r="Q47" s="2" t="inlineStr"/>
      <c r="R47" s="2" t="inlineStr"/>
      <c r="S47" s="2" t="inlineStr"/>
      <c r="T47" s="2" t="inlineStr"/>
      <c r="U47" s="2" t="inlineStr"/>
      <c r="V47" s="2" t="inlineStr"/>
      <c r="W47" s="2" t="inlineStr">
        <is>
          <t>Có nhưng chỉ ngắn hạn (1–2 tháng)</t>
        </is>
      </c>
      <c r="X47" s="2" t="inlineStr">
        <is>
          <t>Học tiếp chương trình sau đại học</t>
        </is>
      </c>
      <c r="Y47" s="2" t="inlineStr"/>
      <c r="Z47" s="2" t="inlineStr">
        <is>
          <t>Có thể</t>
        </is>
      </c>
      <c r="AA47" s="2" t="inlineStr">
        <is>
          <t>không biết</t>
        </is>
      </c>
      <c r="AB47" s="2">
        <f>IFERROR(VALUE(LEFT(F47,1)),"")</f>
        <v/>
      </c>
      <c r="AC47" s="2">
        <f>IFERROR(VALUE(LEFT(G47,1)),"")</f>
        <v/>
      </c>
      <c r="AD47" s="2">
        <f>IFERROR(VALUE(LEFT(H47,1)),"")</f>
        <v/>
      </c>
      <c r="AE47" s="2">
        <f>IFERROR(VALUE(LEFT(I47,1)),"")</f>
        <v/>
      </c>
      <c r="AF47" s="2">
        <f>IFERROR(VALUE(LEFT(J47,1)),"")</f>
        <v/>
      </c>
      <c r="AG47" s="2">
        <f>IFERROR(VALUE(LEFT(K47,1)),"")</f>
        <v/>
      </c>
      <c r="AH47" s="2">
        <f>IFERROR(VALUE(LEFT(L47,1)),"")</f>
        <v/>
      </c>
      <c r="AI47" s="2">
        <f>IFERROR(VALUE(LEFT(M47,1)),"")</f>
        <v/>
      </c>
      <c r="AJ47" s="2">
        <f>IFERROR(VALUE(LEFT(N47,1)),"")</f>
        <v/>
      </c>
      <c r="AK47" s="2">
        <f>IFERROR(VALUE(LEFT(O47,1)),"")</f>
        <v/>
      </c>
      <c r="AL47" s="2">
        <f>IFERROR(VALUE(LEFT(P47,1)),"")</f>
        <v/>
      </c>
      <c r="AM47" s="2">
        <f>IFERROR(VALUE(LEFT(Q47,1)),"")</f>
        <v/>
      </c>
      <c r="AN47" s="2">
        <f>IFERROR(VALUE(LEFT(R47,1)),"")</f>
        <v/>
      </c>
      <c r="AO47" s="2">
        <f>IFERROR(VALUE(LEFT(S47,1)),"")</f>
        <v/>
      </c>
      <c r="AP47" s="2">
        <f>IFERROR(VALUE(LEFT(T47,1)),"")</f>
        <v/>
      </c>
      <c r="AQ47" s="2">
        <f>IFERROR(VALUE(LEFT(U47,1)),"")</f>
        <v/>
      </c>
    </row>
    <row r="48">
      <c r="A48" s="2" t="n">
        <v>47</v>
      </c>
      <c r="B48" s="2" t="inlineStr">
        <is>
          <t>Trường Đại học thuộc ĐHQG</t>
        </is>
      </c>
      <c r="C48" s="2" t="inlineStr">
        <is>
          <t>Sinh viên năm 3-4</t>
        </is>
      </c>
      <c r="D48" s="2" t="inlineStr"/>
      <c r="E48" s="2" t="inlineStr"/>
      <c r="F48" s="2" t="inlineStr">
        <is>
          <t>5 - Rất quan tâm</t>
        </is>
      </c>
      <c r="G48" s="2" t="inlineStr">
        <is>
          <t>4 - Khá quan tâm</t>
        </is>
      </c>
      <c r="H48" s="2" t="inlineStr">
        <is>
          <t>4 - Khá quan tâm</t>
        </is>
      </c>
      <c r="I48" s="2" t="inlineStr">
        <is>
          <t>5 - Rất quan tâm</t>
        </is>
      </c>
      <c r="J48" s="2" t="inlineStr">
        <is>
          <t>4 - Khá quan tâm</t>
        </is>
      </c>
      <c r="K48" s="2" t="inlineStr">
        <is>
          <t>5 - Rất quan tâm</t>
        </is>
      </c>
      <c r="L48" s="2" t="inlineStr">
        <is>
          <t>4 - Khá quan tâm</t>
        </is>
      </c>
      <c r="M48" s="2" t="inlineStr">
        <is>
          <t>5 - Rất quan tâm</t>
        </is>
      </c>
      <c r="N48" s="2" t="inlineStr"/>
      <c r="O48" s="2" t="inlineStr"/>
      <c r="P48" s="2" t="inlineStr"/>
      <c r="Q48" s="2" t="inlineStr"/>
      <c r="R48" s="2" t="inlineStr"/>
      <c r="S48" s="2" t="inlineStr"/>
      <c r="T48" s="2" t="inlineStr"/>
      <c r="U48" s="2" t="inlineStr"/>
      <c r="V48" s="2" t="inlineStr"/>
      <c r="W48" s="2" t="inlineStr">
        <is>
          <t>Có</t>
        </is>
      </c>
      <c r="X48" s="2" t="inlineStr">
        <is>
          <t>Đi làm</t>
        </is>
      </c>
      <c r="Y48" s="2" t="inlineStr"/>
      <c r="Z48" s="2" t="inlineStr">
        <is>
          <t>Có thể</t>
        </is>
      </c>
      <c r="AA48" s="2" t="inlineStr">
        <is>
          <t>Tính năng matching mentor 1-1</t>
        </is>
      </c>
      <c r="AB48" s="2">
        <f>IFERROR(VALUE(LEFT(F48,1)),"")</f>
        <v/>
      </c>
      <c r="AC48" s="2">
        <f>IFERROR(VALUE(LEFT(G48,1)),"")</f>
        <v/>
      </c>
      <c r="AD48" s="2">
        <f>IFERROR(VALUE(LEFT(H48,1)),"")</f>
        <v/>
      </c>
      <c r="AE48" s="2">
        <f>IFERROR(VALUE(LEFT(I48,1)),"")</f>
        <v/>
      </c>
      <c r="AF48" s="2">
        <f>IFERROR(VALUE(LEFT(J48,1)),"")</f>
        <v/>
      </c>
      <c r="AG48" s="2">
        <f>IFERROR(VALUE(LEFT(K48,1)),"")</f>
        <v/>
      </c>
      <c r="AH48" s="2">
        <f>IFERROR(VALUE(LEFT(L48,1)),"")</f>
        <v/>
      </c>
      <c r="AI48" s="2">
        <f>IFERROR(VALUE(LEFT(M48,1)),"")</f>
        <v/>
      </c>
      <c r="AJ48" s="2">
        <f>IFERROR(VALUE(LEFT(N48,1)),"")</f>
        <v/>
      </c>
      <c r="AK48" s="2">
        <f>IFERROR(VALUE(LEFT(O48,1)),"")</f>
        <v/>
      </c>
      <c r="AL48" s="2">
        <f>IFERROR(VALUE(LEFT(P48,1)),"")</f>
        <v/>
      </c>
      <c r="AM48" s="2">
        <f>IFERROR(VALUE(LEFT(Q48,1)),"")</f>
        <v/>
      </c>
      <c r="AN48" s="2">
        <f>IFERROR(VALUE(LEFT(R48,1)),"")</f>
        <v/>
      </c>
      <c r="AO48" s="2">
        <f>IFERROR(VALUE(LEFT(S48,1)),"")</f>
        <v/>
      </c>
      <c r="AP48" s="2">
        <f>IFERROR(VALUE(LEFT(T48,1)),"")</f>
        <v/>
      </c>
      <c r="AQ48" s="2">
        <f>IFERROR(VALUE(LEFT(U48,1)),"")</f>
        <v/>
      </c>
    </row>
    <row r="49">
      <c r="A49" s="2" t="n">
        <v>48</v>
      </c>
      <c r="B49" s="2" t="inlineStr">
        <is>
          <t>Trường Đại học thuộc ĐHQG</t>
        </is>
      </c>
      <c r="C49" s="2" t="inlineStr">
        <is>
          <t>Sinh viên năm 3-4</t>
        </is>
      </c>
      <c r="D49" s="2" t="inlineStr"/>
      <c r="E49" s="2" t="inlineStr"/>
      <c r="F49" s="2" t="inlineStr">
        <is>
          <t>5 - Rất quan tâm</t>
        </is>
      </c>
      <c r="G49" s="2" t="inlineStr">
        <is>
          <t>5 - Rất quan tâm</t>
        </is>
      </c>
      <c r="H49" s="2" t="inlineStr">
        <is>
          <t>5 - Rất quan tâm</t>
        </is>
      </c>
      <c r="I49" s="2" t="inlineStr">
        <is>
          <t>5 - Rất quan tâm</t>
        </is>
      </c>
      <c r="J49" s="2" t="inlineStr">
        <is>
          <t>5 - Rất quan tâm</t>
        </is>
      </c>
      <c r="K49" s="2" t="inlineStr">
        <is>
          <t>5 - Rất quan tâm</t>
        </is>
      </c>
      <c r="L49" s="2" t="inlineStr">
        <is>
          <t>5 - Rất quan tâm</t>
        </is>
      </c>
      <c r="M49" s="2" t="inlineStr">
        <is>
          <t>5 - Rất quan tâm</t>
        </is>
      </c>
      <c r="N49" s="2" t="inlineStr"/>
      <c r="O49" s="2" t="inlineStr"/>
      <c r="P49" s="2" t="inlineStr"/>
      <c r="Q49" s="2" t="inlineStr"/>
      <c r="R49" s="2" t="inlineStr"/>
      <c r="S49" s="2" t="inlineStr"/>
      <c r="T49" s="2" t="inlineStr"/>
      <c r="U49" s="2" t="inlineStr"/>
      <c r="V49" s="2" t="inlineStr"/>
      <c r="W49" s="2" t="inlineStr">
        <is>
          <t>Có nhưng chỉ ngắn hạn (1–2 tháng)</t>
        </is>
      </c>
      <c r="X49" s="2" t="inlineStr">
        <is>
          <t>Đi làm</t>
        </is>
      </c>
      <c r="Y49" s="2" t="inlineStr"/>
      <c r="Z49" s="2" t="inlineStr">
        <is>
          <t>Có</t>
        </is>
      </c>
      <c r="AA49" s="2" t="inlineStr">
        <is>
          <t>Mình nghĩ không có ^.^</t>
        </is>
      </c>
      <c r="AB49" s="2">
        <f>IFERROR(VALUE(LEFT(F49,1)),"")</f>
        <v/>
      </c>
      <c r="AC49" s="2">
        <f>IFERROR(VALUE(LEFT(G49,1)),"")</f>
        <v/>
      </c>
      <c r="AD49" s="2">
        <f>IFERROR(VALUE(LEFT(H49,1)),"")</f>
        <v/>
      </c>
      <c r="AE49" s="2">
        <f>IFERROR(VALUE(LEFT(I49,1)),"")</f>
        <v/>
      </c>
      <c r="AF49" s="2">
        <f>IFERROR(VALUE(LEFT(J49,1)),"")</f>
        <v/>
      </c>
      <c r="AG49" s="2">
        <f>IFERROR(VALUE(LEFT(K49,1)),"")</f>
        <v/>
      </c>
      <c r="AH49" s="2">
        <f>IFERROR(VALUE(LEFT(L49,1)),"")</f>
        <v/>
      </c>
      <c r="AI49" s="2">
        <f>IFERROR(VALUE(LEFT(M49,1)),"")</f>
        <v/>
      </c>
      <c r="AJ49" s="2">
        <f>IFERROR(VALUE(LEFT(N49,1)),"")</f>
        <v/>
      </c>
      <c r="AK49" s="2">
        <f>IFERROR(VALUE(LEFT(O49,1)),"")</f>
        <v/>
      </c>
      <c r="AL49" s="2">
        <f>IFERROR(VALUE(LEFT(P49,1)),"")</f>
        <v/>
      </c>
      <c r="AM49" s="2">
        <f>IFERROR(VALUE(LEFT(Q49,1)),"")</f>
        <v/>
      </c>
      <c r="AN49" s="2">
        <f>IFERROR(VALUE(LEFT(R49,1)),"")</f>
        <v/>
      </c>
      <c r="AO49" s="2">
        <f>IFERROR(VALUE(LEFT(S49,1)),"")</f>
        <v/>
      </c>
      <c r="AP49" s="2">
        <f>IFERROR(VALUE(LEFT(T49,1)),"")</f>
        <v/>
      </c>
      <c r="AQ49" s="2">
        <f>IFERROR(VALUE(LEFT(U49,1)),"")</f>
        <v/>
      </c>
    </row>
    <row r="50">
      <c r="A50" s="2" t="n">
        <v>49</v>
      </c>
      <c r="B50" s="2" t="inlineStr">
        <is>
          <t>Trường Đại học ngoài ĐHQG tại Việt Nam</t>
        </is>
      </c>
      <c r="C50" s="2" t="inlineStr">
        <is>
          <t>Sinh viên năm 3-4</t>
        </is>
      </c>
      <c r="D50" s="2" t="inlineStr"/>
      <c r="E50" s="2" t="inlineStr"/>
      <c r="F50" s="2" t="inlineStr">
        <is>
          <t>5 - Rất quan tâm</t>
        </is>
      </c>
      <c r="G50" s="2" t="inlineStr">
        <is>
          <t>5 - Rất quan tâm</t>
        </is>
      </c>
      <c r="H50" s="2" t="inlineStr">
        <is>
          <t>4 - Khá quan tâm</t>
        </is>
      </c>
      <c r="I50" s="2" t="inlineStr">
        <is>
          <t>4 - Khá quan tâm</t>
        </is>
      </c>
      <c r="J50" s="2" t="inlineStr">
        <is>
          <t>5 - Rất quan tâm</t>
        </is>
      </c>
      <c r="K50" s="2" t="inlineStr">
        <is>
          <t>5 - Rất quan tâm</t>
        </is>
      </c>
      <c r="L50" s="2" t="inlineStr">
        <is>
          <t>5 - Rất quan tâm</t>
        </is>
      </c>
      <c r="M50" s="2" t="inlineStr">
        <is>
          <t>5 - Rất quan tâm</t>
        </is>
      </c>
      <c r="N50" s="2" t="inlineStr"/>
      <c r="O50" s="2" t="inlineStr"/>
      <c r="P50" s="2" t="inlineStr"/>
      <c r="Q50" s="2" t="inlineStr"/>
      <c r="R50" s="2" t="inlineStr"/>
      <c r="S50" s="2" t="inlineStr"/>
      <c r="T50" s="2" t="inlineStr"/>
      <c r="U50" s="2" t="inlineStr"/>
      <c r="V50" s="2" t="inlineStr"/>
      <c r="W50" s="2" t="inlineStr">
        <is>
          <t>Có</t>
        </is>
      </c>
      <c r="X50" s="2" t="inlineStr">
        <is>
          <t>Học tiếp chương trình sau đại học</t>
        </is>
      </c>
      <c r="Y50" s="2" t="inlineStr"/>
      <c r="Z50" s="2" t="inlineStr">
        <is>
          <t>Có</t>
        </is>
      </c>
      <c r="AA50" s="2" t="inlineStr">
        <is>
          <t>Hiện tại không có</t>
        </is>
      </c>
      <c r="AB50" s="2">
        <f>IFERROR(VALUE(LEFT(F50,1)),"")</f>
        <v/>
      </c>
      <c r="AC50" s="2">
        <f>IFERROR(VALUE(LEFT(G50,1)),"")</f>
        <v/>
      </c>
      <c r="AD50" s="2">
        <f>IFERROR(VALUE(LEFT(H50,1)),"")</f>
        <v/>
      </c>
      <c r="AE50" s="2">
        <f>IFERROR(VALUE(LEFT(I50,1)),"")</f>
        <v/>
      </c>
      <c r="AF50" s="2">
        <f>IFERROR(VALUE(LEFT(J50,1)),"")</f>
        <v/>
      </c>
      <c r="AG50" s="2">
        <f>IFERROR(VALUE(LEFT(K50,1)),"")</f>
        <v/>
      </c>
      <c r="AH50" s="2">
        <f>IFERROR(VALUE(LEFT(L50,1)),"")</f>
        <v/>
      </c>
      <c r="AI50" s="2">
        <f>IFERROR(VALUE(LEFT(M50,1)),"")</f>
        <v/>
      </c>
      <c r="AJ50" s="2">
        <f>IFERROR(VALUE(LEFT(N50,1)),"")</f>
        <v/>
      </c>
      <c r="AK50" s="2">
        <f>IFERROR(VALUE(LEFT(O50,1)),"")</f>
        <v/>
      </c>
      <c r="AL50" s="2">
        <f>IFERROR(VALUE(LEFT(P50,1)),"")</f>
        <v/>
      </c>
      <c r="AM50" s="2">
        <f>IFERROR(VALUE(LEFT(Q50,1)),"")</f>
        <v/>
      </c>
      <c r="AN50" s="2">
        <f>IFERROR(VALUE(LEFT(R50,1)),"")</f>
        <v/>
      </c>
      <c r="AO50" s="2">
        <f>IFERROR(VALUE(LEFT(S50,1)),"")</f>
        <v/>
      </c>
      <c r="AP50" s="2">
        <f>IFERROR(VALUE(LEFT(T50,1)),"")</f>
        <v/>
      </c>
      <c r="AQ50" s="2">
        <f>IFERROR(VALUE(LEFT(U50,1)),"")</f>
        <v/>
      </c>
    </row>
    <row r="51">
      <c r="A51" s="2" t="n">
        <v>50</v>
      </c>
      <c r="B51" s="2" t="inlineStr">
        <is>
          <t>Trường Đại học thuộc ĐHQG</t>
        </is>
      </c>
      <c r="C51" s="2" t="inlineStr">
        <is>
          <t>Sinh viên năm 1-2/ Tân sinh viên</t>
        </is>
      </c>
      <c r="D51" s="2" t="inlineStr"/>
      <c r="E51" s="2" t="inlineStr"/>
      <c r="F51" s="2" t="inlineStr">
        <is>
          <t>5 - Rất quan tâm</t>
        </is>
      </c>
      <c r="G51" s="2" t="inlineStr">
        <is>
          <t>5 - Rất quan tâm</t>
        </is>
      </c>
      <c r="H51" s="2" t="inlineStr">
        <is>
          <t>5 - Rất quan tâm</t>
        </is>
      </c>
      <c r="I51" s="2" t="inlineStr">
        <is>
          <t>4 - Khá quan tâm</t>
        </is>
      </c>
      <c r="J51" s="2" t="inlineStr">
        <is>
          <t>5 - Rất quan tâm</t>
        </is>
      </c>
      <c r="K51" s="2" t="inlineStr">
        <is>
          <t>5 - Rất quan tâm</t>
        </is>
      </c>
      <c r="L51" s="2" t="inlineStr">
        <is>
          <t>5 - Rất quan tâm</t>
        </is>
      </c>
      <c r="M51" s="2" t="inlineStr">
        <is>
          <t>5 - Rất quan tâm</t>
        </is>
      </c>
      <c r="N51" s="2" t="inlineStr"/>
      <c r="O51" s="2" t="inlineStr"/>
      <c r="P51" s="2" t="inlineStr"/>
      <c r="Q51" s="2" t="inlineStr"/>
      <c r="R51" s="2" t="inlineStr"/>
      <c r="S51" s="2" t="inlineStr"/>
      <c r="T51" s="2" t="inlineStr"/>
      <c r="U51" s="2" t="inlineStr"/>
      <c r="V51" s="2" t="inlineStr"/>
      <c r="W51" s="2" t="inlineStr">
        <is>
          <t>Có nhưng chưa biết bắt đầu</t>
        </is>
      </c>
      <c r="X51" s="2" t="inlineStr"/>
      <c r="Y51" s="2" t="inlineStr"/>
      <c r="Z51" s="2" t="inlineStr"/>
      <c r="AA51" s="2" t="inlineStr">
        <is>
          <t>Mình nghĩ là tính năng tổng hợp, lưu trữ lại những tài liệu, đồ án của các anh chị khóa trước để lại cho các bạn khóa sau sẽ giúp ích rất nhiều</t>
        </is>
      </c>
      <c r="AB51" s="2">
        <f>IFERROR(VALUE(LEFT(F51,1)),"")</f>
        <v/>
      </c>
      <c r="AC51" s="2">
        <f>IFERROR(VALUE(LEFT(G51,1)),"")</f>
        <v/>
      </c>
      <c r="AD51" s="2">
        <f>IFERROR(VALUE(LEFT(H51,1)),"")</f>
        <v/>
      </c>
      <c r="AE51" s="2">
        <f>IFERROR(VALUE(LEFT(I51,1)),"")</f>
        <v/>
      </c>
      <c r="AF51" s="2">
        <f>IFERROR(VALUE(LEFT(J51,1)),"")</f>
        <v/>
      </c>
      <c r="AG51" s="2">
        <f>IFERROR(VALUE(LEFT(K51,1)),"")</f>
        <v/>
      </c>
      <c r="AH51" s="2">
        <f>IFERROR(VALUE(LEFT(L51,1)),"")</f>
        <v/>
      </c>
      <c r="AI51" s="2">
        <f>IFERROR(VALUE(LEFT(M51,1)),"")</f>
        <v/>
      </c>
      <c r="AJ51" s="2">
        <f>IFERROR(VALUE(LEFT(N51,1)),"")</f>
        <v/>
      </c>
      <c r="AK51" s="2">
        <f>IFERROR(VALUE(LEFT(O51,1)),"")</f>
        <v/>
      </c>
      <c r="AL51" s="2">
        <f>IFERROR(VALUE(LEFT(P51,1)),"")</f>
        <v/>
      </c>
      <c r="AM51" s="2">
        <f>IFERROR(VALUE(LEFT(Q51,1)),"")</f>
        <v/>
      </c>
      <c r="AN51" s="2">
        <f>IFERROR(VALUE(LEFT(R51,1)),"")</f>
        <v/>
      </c>
      <c r="AO51" s="2">
        <f>IFERROR(VALUE(LEFT(S51,1)),"")</f>
        <v/>
      </c>
      <c r="AP51" s="2">
        <f>IFERROR(VALUE(LEFT(T51,1)),"")</f>
        <v/>
      </c>
      <c r="AQ51" s="2">
        <f>IFERROR(VALUE(LEFT(U51,1)),"")</f>
        <v/>
      </c>
    </row>
    <row r="52">
      <c r="A52" s="2" t="n">
        <v>51</v>
      </c>
      <c r="B52" s="2" t="inlineStr">
        <is>
          <t>Trường Đại học thuộc ĐHQG</t>
        </is>
      </c>
      <c r="C52" s="2" t="inlineStr">
        <is>
          <t>Sinh viên năm 3-4</t>
        </is>
      </c>
      <c r="D52" s="2" t="inlineStr"/>
      <c r="E52" s="2" t="inlineStr"/>
      <c r="F52" s="2" t="inlineStr">
        <is>
          <t>5 - Rất quan tâm</t>
        </is>
      </c>
      <c r="G52" s="2" t="inlineStr">
        <is>
          <t>5 - Rất quan tâm</t>
        </is>
      </c>
      <c r="H52" s="2" t="inlineStr">
        <is>
          <t>2 - Ít quan tâm</t>
        </is>
      </c>
      <c r="I52" s="2" t="inlineStr">
        <is>
          <t>2 - Ít quan tâm</t>
        </is>
      </c>
      <c r="J52" s="2" t="inlineStr">
        <is>
          <t>3 - Bình thường</t>
        </is>
      </c>
      <c r="K52" s="2" t="inlineStr">
        <is>
          <t>5 - Rất quan tâm</t>
        </is>
      </c>
      <c r="L52" s="2" t="inlineStr">
        <is>
          <t>5 - Rất quan tâm</t>
        </is>
      </c>
      <c r="M52" s="2" t="inlineStr">
        <is>
          <t>5 - Rất quan tâm</t>
        </is>
      </c>
      <c r="N52" s="2" t="inlineStr"/>
      <c r="O52" s="2" t="inlineStr"/>
      <c r="P52" s="2" t="inlineStr"/>
      <c r="Q52" s="2" t="inlineStr"/>
      <c r="R52" s="2" t="inlineStr"/>
      <c r="S52" s="2" t="inlineStr"/>
      <c r="T52" s="2" t="inlineStr"/>
      <c r="U52" s="2" t="inlineStr"/>
      <c r="V52" s="2" t="inlineStr"/>
      <c r="W52" s="2" t="inlineStr">
        <is>
          <t>Có</t>
        </is>
      </c>
      <c r="X52" s="2" t="inlineStr">
        <is>
          <t>Đi làm</t>
        </is>
      </c>
      <c r="Y52" s="2" t="inlineStr"/>
      <c r="Z52" s="2" t="inlineStr">
        <is>
          <t>Có</t>
        </is>
      </c>
      <c r="AA52" s="2" t="inlineStr">
        <is>
          <t>A personalized career-path recommendation system based on current skills and career goals.</t>
        </is>
      </c>
      <c r="AB52" s="2">
        <f>IFERROR(VALUE(LEFT(F52,1)),"")</f>
        <v/>
      </c>
      <c r="AC52" s="2">
        <f>IFERROR(VALUE(LEFT(G52,1)),"")</f>
        <v/>
      </c>
      <c r="AD52" s="2">
        <f>IFERROR(VALUE(LEFT(H52,1)),"")</f>
        <v/>
      </c>
      <c r="AE52" s="2">
        <f>IFERROR(VALUE(LEFT(I52,1)),"")</f>
        <v/>
      </c>
      <c r="AF52" s="2">
        <f>IFERROR(VALUE(LEFT(J52,1)),"")</f>
        <v/>
      </c>
      <c r="AG52" s="2">
        <f>IFERROR(VALUE(LEFT(K52,1)),"")</f>
        <v/>
      </c>
      <c r="AH52" s="2">
        <f>IFERROR(VALUE(LEFT(L52,1)),"")</f>
        <v/>
      </c>
      <c r="AI52" s="2">
        <f>IFERROR(VALUE(LEFT(M52,1)),"")</f>
        <v/>
      </c>
      <c r="AJ52" s="2">
        <f>IFERROR(VALUE(LEFT(N52,1)),"")</f>
        <v/>
      </c>
      <c r="AK52" s="2">
        <f>IFERROR(VALUE(LEFT(O52,1)),"")</f>
        <v/>
      </c>
      <c r="AL52" s="2">
        <f>IFERROR(VALUE(LEFT(P52,1)),"")</f>
        <v/>
      </c>
      <c r="AM52" s="2">
        <f>IFERROR(VALUE(LEFT(Q52,1)),"")</f>
        <v/>
      </c>
      <c r="AN52" s="2">
        <f>IFERROR(VALUE(LEFT(R52,1)),"")</f>
        <v/>
      </c>
      <c r="AO52" s="2">
        <f>IFERROR(VALUE(LEFT(S52,1)),"")</f>
        <v/>
      </c>
      <c r="AP52" s="2">
        <f>IFERROR(VALUE(LEFT(T52,1)),"")</f>
        <v/>
      </c>
      <c r="AQ52" s="2">
        <f>IFERROR(VALUE(LEFT(U52,1)),"")</f>
        <v/>
      </c>
    </row>
    <row r="53">
      <c r="A53" s="2" t="n">
        <v>52</v>
      </c>
      <c r="B53" s="2" t="inlineStr">
        <is>
          <t>Trường Đại học thuộc ĐHQG</t>
        </is>
      </c>
      <c r="C53" s="2" t="inlineStr">
        <is>
          <t>Sinh viên năm 3-4</t>
        </is>
      </c>
      <c r="D53" s="2" t="inlineStr"/>
      <c r="E53" s="2" t="inlineStr"/>
      <c r="F53" s="2" t="inlineStr">
        <is>
          <t>5 - Rất quan tâm</t>
        </is>
      </c>
      <c r="G53" s="2" t="inlineStr">
        <is>
          <t>5 - Rất quan tâm</t>
        </is>
      </c>
      <c r="H53" s="2" t="inlineStr">
        <is>
          <t>5 - Rất quan tâm</t>
        </is>
      </c>
      <c r="I53" s="2" t="inlineStr">
        <is>
          <t>5 - Rất quan tâm</t>
        </is>
      </c>
      <c r="J53" s="2" t="inlineStr">
        <is>
          <t>5 - Rất quan tâm</t>
        </is>
      </c>
      <c r="K53" s="2" t="inlineStr">
        <is>
          <t>5 - Rất quan tâm</t>
        </is>
      </c>
      <c r="L53" s="2" t="inlineStr">
        <is>
          <t>5 - Rất quan tâm</t>
        </is>
      </c>
      <c r="M53" s="2" t="inlineStr">
        <is>
          <t>5 - Rất quan tâm</t>
        </is>
      </c>
      <c r="N53" s="2" t="inlineStr"/>
      <c r="O53" s="2" t="inlineStr"/>
      <c r="P53" s="2" t="inlineStr"/>
      <c r="Q53" s="2" t="inlineStr"/>
      <c r="R53" s="2" t="inlineStr"/>
      <c r="S53" s="2" t="inlineStr"/>
      <c r="T53" s="2" t="inlineStr"/>
      <c r="U53" s="2" t="inlineStr"/>
      <c r="V53" s="2" t="inlineStr"/>
      <c r="W53" s="2" t="inlineStr">
        <is>
          <t>Không cần thiết</t>
        </is>
      </c>
      <c r="X53" s="2" t="inlineStr">
        <is>
          <t>Đi làm</t>
        </is>
      </c>
      <c r="Y53" s="2" t="inlineStr"/>
      <c r="Z53" s="2" t="inlineStr"/>
      <c r="AA53" s="2" t="inlineStr">
        <is>
          <t>Khong</t>
        </is>
      </c>
      <c r="AB53" s="2">
        <f>IFERROR(VALUE(LEFT(F53,1)),"")</f>
        <v/>
      </c>
      <c r="AC53" s="2">
        <f>IFERROR(VALUE(LEFT(G53,1)),"")</f>
        <v/>
      </c>
      <c r="AD53" s="2">
        <f>IFERROR(VALUE(LEFT(H53,1)),"")</f>
        <v/>
      </c>
      <c r="AE53" s="2">
        <f>IFERROR(VALUE(LEFT(I53,1)),"")</f>
        <v/>
      </c>
      <c r="AF53" s="2">
        <f>IFERROR(VALUE(LEFT(J53,1)),"")</f>
        <v/>
      </c>
      <c r="AG53" s="2">
        <f>IFERROR(VALUE(LEFT(K53,1)),"")</f>
        <v/>
      </c>
      <c r="AH53" s="2">
        <f>IFERROR(VALUE(LEFT(L53,1)),"")</f>
        <v/>
      </c>
      <c r="AI53" s="2">
        <f>IFERROR(VALUE(LEFT(M53,1)),"")</f>
        <v/>
      </c>
      <c r="AJ53" s="2">
        <f>IFERROR(VALUE(LEFT(N53,1)),"")</f>
        <v/>
      </c>
      <c r="AK53" s="2">
        <f>IFERROR(VALUE(LEFT(O53,1)),"")</f>
        <v/>
      </c>
      <c r="AL53" s="2">
        <f>IFERROR(VALUE(LEFT(P53,1)),"")</f>
        <v/>
      </c>
      <c r="AM53" s="2">
        <f>IFERROR(VALUE(LEFT(Q53,1)),"")</f>
        <v/>
      </c>
      <c r="AN53" s="2">
        <f>IFERROR(VALUE(LEFT(R53,1)),"")</f>
        <v/>
      </c>
      <c r="AO53" s="2">
        <f>IFERROR(VALUE(LEFT(S53,1)),"")</f>
        <v/>
      </c>
      <c r="AP53" s="2">
        <f>IFERROR(VALUE(LEFT(T53,1)),"")</f>
        <v/>
      </c>
      <c r="AQ53" s="2">
        <f>IFERROR(VALUE(LEFT(U53,1)),"")</f>
        <v/>
      </c>
    </row>
    <row r="54">
      <c r="A54" s="2" t="n">
        <v>53</v>
      </c>
      <c r="B54" s="2" t="inlineStr">
        <is>
          <t>Trường Đại học thuộc ĐHQG</t>
        </is>
      </c>
      <c r="C54" s="2" t="inlineStr">
        <is>
          <t>Cựu sinh viên</t>
        </is>
      </c>
      <c r="D54" s="2" t="inlineStr">
        <is>
          <t>Không</t>
        </is>
      </c>
      <c r="E54" s="2" t="inlineStr">
        <is>
          <t>Có</t>
        </is>
      </c>
      <c r="F54" s="2" t="inlineStr"/>
      <c r="G54" s="2" t="inlineStr"/>
      <c r="H54" s="2" t="inlineStr"/>
      <c r="I54" s="2" t="inlineStr"/>
      <c r="J54" s="2" t="inlineStr"/>
      <c r="K54" s="2" t="inlineStr"/>
      <c r="L54" s="2" t="inlineStr"/>
      <c r="M54" s="2" t="inlineStr"/>
      <c r="N54" s="2" t="inlineStr">
        <is>
          <t>2.0</t>
        </is>
      </c>
      <c r="O54" s="2" t="inlineStr">
        <is>
          <t>2.0</t>
        </is>
      </c>
      <c r="P54" s="2" t="inlineStr">
        <is>
          <t>2.0</t>
        </is>
      </c>
      <c r="Q54" s="2" t="inlineStr">
        <is>
          <t>3.0</t>
        </is>
      </c>
      <c r="R54" s="2" t="inlineStr">
        <is>
          <t>2.0</t>
        </is>
      </c>
      <c r="S54" s="2" t="inlineStr">
        <is>
          <t>3.0</t>
        </is>
      </c>
      <c r="T54" s="2" t="inlineStr">
        <is>
          <t>4.0</t>
        </is>
      </c>
      <c r="U54" s="2" t="inlineStr">
        <is>
          <t>2.0</t>
        </is>
      </c>
      <c r="V54" s="2" t="inlineStr">
        <is>
          <t>Chưa chắc chắn (cần tìm hiểu thêm)</t>
        </is>
      </c>
      <c r="W54" s="2" t="inlineStr"/>
      <c r="X54" s="2" t="inlineStr"/>
      <c r="Y54" s="2" t="inlineStr">
        <is>
          <t>Chia sẻ tài liệu, template, kinh nghiệm viết CV, portfolio</t>
        </is>
      </c>
      <c r="Z54" s="2" t="inlineStr"/>
      <c r="AA54" s="2" t="inlineStr">
        <is>
          <t>Không</t>
        </is>
      </c>
      <c r="AB54" s="2">
        <f>IFERROR(VALUE(LEFT(F54,1)),"")</f>
        <v/>
      </c>
      <c r="AC54" s="2">
        <f>IFERROR(VALUE(LEFT(G54,1)),"")</f>
        <v/>
      </c>
      <c r="AD54" s="2">
        <f>IFERROR(VALUE(LEFT(H54,1)),"")</f>
        <v/>
      </c>
      <c r="AE54" s="2">
        <f>IFERROR(VALUE(LEFT(I54,1)),"")</f>
        <v/>
      </c>
      <c r="AF54" s="2">
        <f>IFERROR(VALUE(LEFT(J54,1)),"")</f>
        <v/>
      </c>
      <c r="AG54" s="2">
        <f>IFERROR(VALUE(LEFT(K54,1)),"")</f>
        <v/>
      </c>
      <c r="AH54" s="2">
        <f>IFERROR(VALUE(LEFT(L54,1)),"")</f>
        <v/>
      </c>
      <c r="AI54" s="2">
        <f>IFERROR(VALUE(LEFT(M54,1)),"")</f>
        <v/>
      </c>
      <c r="AJ54" s="2">
        <f>IFERROR(VALUE(LEFT(N54,1)),"")</f>
        <v/>
      </c>
      <c r="AK54" s="2">
        <f>IFERROR(VALUE(LEFT(O54,1)),"")</f>
        <v/>
      </c>
      <c r="AL54" s="2">
        <f>IFERROR(VALUE(LEFT(P54,1)),"")</f>
        <v/>
      </c>
      <c r="AM54" s="2">
        <f>IFERROR(VALUE(LEFT(Q54,1)),"")</f>
        <v/>
      </c>
      <c r="AN54" s="2">
        <f>IFERROR(VALUE(LEFT(R54,1)),"")</f>
        <v/>
      </c>
      <c r="AO54" s="2">
        <f>IFERROR(VALUE(LEFT(S54,1)),"")</f>
        <v/>
      </c>
      <c r="AP54" s="2">
        <f>IFERROR(VALUE(LEFT(T54,1)),"")</f>
        <v/>
      </c>
      <c r="AQ54" s="2">
        <f>IFERROR(VALUE(LEFT(U54,1)),"")</f>
        <v/>
      </c>
    </row>
    <row r="55">
      <c r="A55" s="2" t="n">
        <v>54</v>
      </c>
      <c r="B55" s="2" t="inlineStr">
        <is>
          <t>Trường Đại học thuộc ĐHQG</t>
        </is>
      </c>
      <c r="C55" s="2" t="inlineStr">
        <is>
          <t>Sinh viên năm 1-2/ Tân sinh viên</t>
        </is>
      </c>
      <c r="D55" s="2" t="inlineStr"/>
      <c r="E55" s="2" t="inlineStr"/>
      <c r="F55" s="2" t="inlineStr">
        <is>
          <t>4 - Khá quan tâm</t>
        </is>
      </c>
      <c r="G55" s="2" t="inlineStr">
        <is>
          <t>5 - Rất quan tâm</t>
        </is>
      </c>
      <c r="H55" s="2" t="inlineStr">
        <is>
          <t>3 - Bình thường</t>
        </is>
      </c>
      <c r="I55" s="2" t="inlineStr">
        <is>
          <t>5 - Rất quan tâm</t>
        </is>
      </c>
      <c r="J55" s="2" t="inlineStr">
        <is>
          <t>5 - Rất quan tâm</t>
        </is>
      </c>
      <c r="K55" s="2" t="inlineStr">
        <is>
          <t>5 - Rất quan tâm</t>
        </is>
      </c>
      <c r="L55" s="2" t="inlineStr">
        <is>
          <t>5 - Rất quan tâm</t>
        </is>
      </c>
      <c r="M55" s="2" t="inlineStr">
        <is>
          <t>5 - Rất quan tâm</t>
        </is>
      </c>
      <c r="N55" s="2" t="inlineStr"/>
      <c r="O55" s="2" t="inlineStr"/>
      <c r="P55" s="2" t="inlineStr"/>
      <c r="Q55" s="2" t="inlineStr"/>
      <c r="R55" s="2" t="inlineStr"/>
      <c r="S55" s="2" t="inlineStr"/>
      <c r="T55" s="2" t="inlineStr"/>
      <c r="U55" s="2" t="inlineStr"/>
      <c r="V55" s="2" t="inlineStr"/>
      <c r="W55" s="2" t="inlineStr">
        <is>
          <t>Có nhưng chưa biết bắt đầu</t>
        </is>
      </c>
      <c r="X55" s="2" t="inlineStr"/>
      <c r="Y55" s="2" t="inlineStr"/>
      <c r="Z55" s="2" t="inlineStr"/>
      <c r="AA55" s="2" t="inlineStr">
        <is>
          <t>Nhắn tin trực tiếp với người hướng dẫn hoặc sử dụng AI để hỏi về bài tập và xác thực thông tin</t>
        </is>
      </c>
      <c r="AB55" s="2">
        <f>IFERROR(VALUE(LEFT(F55,1)),"")</f>
        <v/>
      </c>
      <c r="AC55" s="2">
        <f>IFERROR(VALUE(LEFT(G55,1)),"")</f>
        <v/>
      </c>
      <c r="AD55" s="2">
        <f>IFERROR(VALUE(LEFT(H55,1)),"")</f>
        <v/>
      </c>
      <c r="AE55" s="2">
        <f>IFERROR(VALUE(LEFT(I55,1)),"")</f>
        <v/>
      </c>
      <c r="AF55" s="2">
        <f>IFERROR(VALUE(LEFT(J55,1)),"")</f>
        <v/>
      </c>
      <c r="AG55" s="2">
        <f>IFERROR(VALUE(LEFT(K55,1)),"")</f>
        <v/>
      </c>
      <c r="AH55" s="2">
        <f>IFERROR(VALUE(LEFT(L55,1)),"")</f>
        <v/>
      </c>
      <c r="AI55" s="2">
        <f>IFERROR(VALUE(LEFT(M55,1)),"")</f>
        <v/>
      </c>
      <c r="AJ55" s="2">
        <f>IFERROR(VALUE(LEFT(N55,1)),"")</f>
        <v/>
      </c>
      <c r="AK55" s="2">
        <f>IFERROR(VALUE(LEFT(O55,1)),"")</f>
        <v/>
      </c>
      <c r="AL55" s="2">
        <f>IFERROR(VALUE(LEFT(P55,1)),"")</f>
        <v/>
      </c>
      <c r="AM55" s="2">
        <f>IFERROR(VALUE(LEFT(Q55,1)),"")</f>
        <v/>
      </c>
      <c r="AN55" s="2">
        <f>IFERROR(VALUE(LEFT(R55,1)),"")</f>
        <v/>
      </c>
      <c r="AO55" s="2">
        <f>IFERROR(VALUE(LEFT(S55,1)),"")</f>
        <v/>
      </c>
      <c r="AP55" s="2">
        <f>IFERROR(VALUE(LEFT(T55,1)),"")</f>
        <v/>
      </c>
      <c r="AQ55" s="2">
        <f>IFERROR(VALUE(LEFT(U55,1)),"")</f>
        <v/>
      </c>
    </row>
    <row r="56">
      <c r="A56" s="2" t="n">
        <v>55</v>
      </c>
      <c r="B56" s="2" t="inlineStr">
        <is>
          <t>Trường Đại học thuộc ĐHQG</t>
        </is>
      </c>
      <c r="C56" s="2" t="inlineStr">
        <is>
          <t>Sinh viên năm 3-4</t>
        </is>
      </c>
      <c r="D56" s="2" t="inlineStr"/>
      <c r="E56" s="2" t="inlineStr"/>
      <c r="F56" s="2" t="inlineStr">
        <is>
          <t>5 - Rất quan tâm</t>
        </is>
      </c>
      <c r="G56" s="2" t="inlineStr">
        <is>
          <t>4 - Khá quan tâm</t>
        </is>
      </c>
      <c r="H56" s="2" t="inlineStr">
        <is>
          <t>2 - Ít quan tâm</t>
        </is>
      </c>
      <c r="I56" s="2" t="inlineStr">
        <is>
          <t>2 - Ít quan tâm</t>
        </is>
      </c>
      <c r="J56" s="2" t="inlineStr">
        <is>
          <t>2 - Ít quan tâm</t>
        </is>
      </c>
      <c r="K56" s="2" t="inlineStr">
        <is>
          <t>1 - Hoàn toàn không quan tâm</t>
        </is>
      </c>
      <c r="L56" s="2" t="inlineStr">
        <is>
          <t>1 - Hoàn toàn không quan tâm</t>
        </is>
      </c>
      <c r="M56" s="2" t="inlineStr">
        <is>
          <t>5 - Rất quan tâm</t>
        </is>
      </c>
      <c r="N56" s="2" t="inlineStr"/>
      <c r="O56" s="2" t="inlineStr"/>
      <c r="P56" s="2" t="inlineStr"/>
      <c r="Q56" s="2" t="inlineStr"/>
      <c r="R56" s="2" t="inlineStr"/>
      <c r="S56" s="2" t="inlineStr"/>
      <c r="T56" s="2" t="inlineStr"/>
      <c r="U56" s="2" t="inlineStr"/>
      <c r="V56" s="2" t="inlineStr"/>
      <c r="W56" s="2" t="inlineStr">
        <is>
          <t>Không cần thiết</t>
        </is>
      </c>
      <c r="X56" s="2" t="inlineStr">
        <is>
          <t>Học tiếp chương trình sau đại học</t>
        </is>
      </c>
      <c r="Y56" s="2" t="inlineStr"/>
      <c r="Z56" s="2" t="inlineStr"/>
      <c r="AA56" s="2" t="inlineStr">
        <is>
          <t>Không</t>
        </is>
      </c>
      <c r="AB56" s="2">
        <f>IFERROR(VALUE(LEFT(F56,1)),"")</f>
        <v/>
      </c>
      <c r="AC56" s="2">
        <f>IFERROR(VALUE(LEFT(G56,1)),"")</f>
        <v/>
      </c>
      <c r="AD56" s="2">
        <f>IFERROR(VALUE(LEFT(H56,1)),"")</f>
        <v/>
      </c>
      <c r="AE56" s="2">
        <f>IFERROR(VALUE(LEFT(I56,1)),"")</f>
        <v/>
      </c>
      <c r="AF56" s="2">
        <f>IFERROR(VALUE(LEFT(J56,1)),"")</f>
        <v/>
      </c>
      <c r="AG56" s="2">
        <f>IFERROR(VALUE(LEFT(K56,1)),"")</f>
        <v/>
      </c>
      <c r="AH56" s="2">
        <f>IFERROR(VALUE(LEFT(L56,1)),"")</f>
        <v/>
      </c>
      <c r="AI56" s="2">
        <f>IFERROR(VALUE(LEFT(M56,1)),"")</f>
        <v/>
      </c>
      <c r="AJ56" s="2">
        <f>IFERROR(VALUE(LEFT(N56,1)),"")</f>
        <v/>
      </c>
      <c r="AK56" s="2">
        <f>IFERROR(VALUE(LEFT(O56,1)),"")</f>
        <v/>
      </c>
      <c r="AL56" s="2">
        <f>IFERROR(VALUE(LEFT(P56,1)),"")</f>
        <v/>
      </c>
      <c r="AM56" s="2">
        <f>IFERROR(VALUE(LEFT(Q56,1)),"")</f>
        <v/>
      </c>
      <c r="AN56" s="2">
        <f>IFERROR(VALUE(LEFT(R56,1)),"")</f>
        <v/>
      </c>
      <c r="AO56" s="2">
        <f>IFERROR(VALUE(LEFT(S56,1)),"")</f>
        <v/>
      </c>
      <c r="AP56" s="2">
        <f>IFERROR(VALUE(LEFT(T56,1)),"")</f>
        <v/>
      </c>
      <c r="AQ56" s="2">
        <f>IFERROR(VALUE(LEFT(U56,1)),"")</f>
        <v/>
      </c>
    </row>
    <row r="57">
      <c r="A57" s="2" t="n">
        <v>56</v>
      </c>
      <c r="B57" s="2" t="inlineStr">
        <is>
          <t>Trường Đại học thuộc ĐHQG</t>
        </is>
      </c>
      <c r="C57" s="2" t="inlineStr">
        <is>
          <t>Cựu sinh viên</t>
        </is>
      </c>
      <c r="D57" s="2" t="inlineStr">
        <is>
          <t>Không</t>
        </is>
      </c>
      <c r="E57" s="2" t="inlineStr">
        <is>
          <t>Không</t>
        </is>
      </c>
      <c r="F57" s="2" t="inlineStr"/>
      <c r="G57" s="2" t="inlineStr"/>
      <c r="H57" s="2" t="inlineStr"/>
      <c r="I57" s="2" t="inlineStr"/>
      <c r="J57" s="2" t="inlineStr"/>
      <c r="K57" s="2" t="inlineStr"/>
      <c r="L57" s="2" t="inlineStr"/>
      <c r="M57" s="2" t="inlineStr"/>
      <c r="N57" s="2" t="inlineStr">
        <is>
          <t>1.0</t>
        </is>
      </c>
      <c r="O57" s="2" t="inlineStr">
        <is>
          <t>1.0</t>
        </is>
      </c>
      <c r="P57" s="2" t="inlineStr">
        <is>
          <t>1.0</t>
        </is>
      </c>
      <c r="Q57" s="2" t="inlineStr">
        <is>
          <t>3.0</t>
        </is>
      </c>
      <c r="R57" s="2" t="inlineStr">
        <is>
          <t>3.0</t>
        </is>
      </c>
      <c r="S57" s="2" t="inlineStr">
        <is>
          <t>3.0</t>
        </is>
      </c>
      <c r="T57" s="2" t="inlineStr">
        <is>
          <t>1.0</t>
        </is>
      </c>
      <c r="U57" s="2" t="inlineStr">
        <is>
          <t>1.0</t>
        </is>
      </c>
      <c r="V57" s="2" t="inlineStr">
        <is>
          <t>Chưa chắc chắn (cần tìm hiểu thêm)</t>
        </is>
      </c>
      <c r="W57" s="2" t="inlineStr"/>
      <c r="X57" s="2" t="inlineStr"/>
      <c r="Y57" s="2" t="inlineStr">
        <is>
          <t>Chia sẻ tài liệu, template, kinh nghiệm viết CV, portfolio</t>
        </is>
      </c>
      <c r="Z57" s="2" t="inlineStr"/>
      <c r="AA57" s="2" t="inlineStr">
        <is>
          <t>Không có</t>
        </is>
      </c>
      <c r="AB57" s="2">
        <f>IFERROR(VALUE(LEFT(F57,1)),"")</f>
        <v/>
      </c>
      <c r="AC57" s="2">
        <f>IFERROR(VALUE(LEFT(G57,1)),"")</f>
        <v/>
      </c>
      <c r="AD57" s="2">
        <f>IFERROR(VALUE(LEFT(H57,1)),"")</f>
        <v/>
      </c>
      <c r="AE57" s="2">
        <f>IFERROR(VALUE(LEFT(I57,1)),"")</f>
        <v/>
      </c>
      <c r="AF57" s="2">
        <f>IFERROR(VALUE(LEFT(J57,1)),"")</f>
        <v/>
      </c>
      <c r="AG57" s="2">
        <f>IFERROR(VALUE(LEFT(K57,1)),"")</f>
        <v/>
      </c>
      <c r="AH57" s="2">
        <f>IFERROR(VALUE(LEFT(L57,1)),"")</f>
        <v/>
      </c>
      <c r="AI57" s="2">
        <f>IFERROR(VALUE(LEFT(M57,1)),"")</f>
        <v/>
      </c>
      <c r="AJ57" s="2">
        <f>IFERROR(VALUE(LEFT(N57,1)),"")</f>
        <v/>
      </c>
      <c r="AK57" s="2">
        <f>IFERROR(VALUE(LEFT(O57,1)),"")</f>
        <v/>
      </c>
      <c r="AL57" s="2">
        <f>IFERROR(VALUE(LEFT(P57,1)),"")</f>
        <v/>
      </c>
      <c r="AM57" s="2">
        <f>IFERROR(VALUE(LEFT(Q57,1)),"")</f>
        <v/>
      </c>
      <c r="AN57" s="2">
        <f>IFERROR(VALUE(LEFT(R57,1)),"")</f>
        <v/>
      </c>
      <c r="AO57" s="2">
        <f>IFERROR(VALUE(LEFT(S57,1)),"")</f>
        <v/>
      </c>
      <c r="AP57" s="2">
        <f>IFERROR(VALUE(LEFT(T57,1)),"")</f>
        <v/>
      </c>
      <c r="AQ57" s="2">
        <f>IFERROR(VALUE(LEFT(U57,1)),"")</f>
        <v/>
      </c>
    </row>
    <row r="58">
      <c r="A58" s="2" t="n">
        <v>57</v>
      </c>
      <c r="B58" s="2" t="inlineStr">
        <is>
          <t>Trường Đại học thuộc ĐHQG</t>
        </is>
      </c>
      <c r="C58" s="2" t="inlineStr">
        <is>
          <t>Sinh viên năm 1-2/ Tân sinh viên</t>
        </is>
      </c>
      <c r="D58" s="2" t="inlineStr"/>
      <c r="E58" s="2" t="inlineStr"/>
      <c r="F58" s="2" t="inlineStr">
        <is>
          <t>4 - Khá quan tâm</t>
        </is>
      </c>
      <c r="G58" s="2" t="inlineStr">
        <is>
          <t>4 - Khá quan tâm</t>
        </is>
      </c>
      <c r="H58" s="2" t="inlineStr">
        <is>
          <t>4 - Khá quan tâm</t>
        </is>
      </c>
      <c r="I58" s="2" t="inlineStr">
        <is>
          <t>4 - Khá quan tâm</t>
        </is>
      </c>
      <c r="J58" s="2" t="inlineStr">
        <is>
          <t>4 - Khá quan tâm</t>
        </is>
      </c>
      <c r="K58" s="2" t="inlineStr">
        <is>
          <t>5 - Rất quan tâm</t>
        </is>
      </c>
      <c r="L58" s="2" t="inlineStr">
        <is>
          <t>5 - Rất quan tâm</t>
        </is>
      </c>
      <c r="M58" s="2" t="inlineStr">
        <is>
          <t>5 - Rất quan tâm</t>
        </is>
      </c>
      <c r="N58" s="2" t="inlineStr"/>
      <c r="O58" s="2" t="inlineStr"/>
      <c r="P58" s="2" t="inlineStr"/>
      <c r="Q58" s="2" t="inlineStr"/>
      <c r="R58" s="2" t="inlineStr"/>
      <c r="S58" s="2" t="inlineStr"/>
      <c r="T58" s="2" t="inlineStr"/>
      <c r="U58" s="2" t="inlineStr"/>
      <c r="V58" s="2" t="inlineStr"/>
      <c r="W58" s="2" t="inlineStr">
        <is>
          <t>Có – định hướng học tập &amp; kỹ năng mềm</t>
        </is>
      </c>
      <c r="X58" s="2" t="inlineStr"/>
      <c r="Y58" s="2" t="inlineStr"/>
      <c r="Z58" s="2" t="inlineStr"/>
      <c r="AA58" s="2" t="inlineStr">
        <is>
          <t>Em chưa sử dụng alumverse</t>
        </is>
      </c>
      <c r="AB58" s="2">
        <f>IFERROR(VALUE(LEFT(F58,1)),"")</f>
        <v/>
      </c>
      <c r="AC58" s="2">
        <f>IFERROR(VALUE(LEFT(G58,1)),"")</f>
        <v/>
      </c>
      <c r="AD58" s="2">
        <f>IFERROR(VALUE(LEFT(H58,1)),"")</f>
        <v/>
      </c>
      <c r="AE58" s="2">
        <f>IFERROR(VALUE(LEFT(I58,1)),"")</f>
        <v/>
      </c>
      <c r="AF58" s="2">
        <f>IFERROR(VALUE(LEFT(J58,1)),"")</f>
        <v/>
      </c>
      <c r="AG58" s="2">
        <f>IFERROR(VALUE(LEFT(K58,1)),"")</f>
        <v/>
      </c>
      <c r="AH58" s="2">
        <f>IFERROR(VALUE(LEFT(L58,1)),"")</f>
        <v/>
      </c>
      <c r="AI58" s="2">
        <f>IFERROR(VALUE(LEFT(M58,1)),"")</f>
        <v/>
      </c>
      <c r="AJ58" s="2">
        <f>IFERROR(VALUE(LEFT(N58,1)),"")</f>
        <v/>
      </c>
      <c r="AK58" s="2">
        <f>IFERROR(VALUE(LEFT(O58,1)),"")</f>
        <v/>
      </c>
      <c r="AL58" s="2">
        <f>IFERROR(VALUE(LEFT(P58,1)),"")</f>
        <v/>
      </c>
      <c r="AM58" s="2">
        <f>IFERROR(VALUE(LEFT(Q58,1)),"")</f>
        <v/>
      </c>
      <c r="AN58" s="2">
        <f>IFERROR(VALUE(LEFT(R58,1)),"")</f>
        <v/>
      </c>
      <c r="AO58" s="2">
        <f>IFERROR(VALUE(LEFT(S58,1)),"")</f>
        <v/>
      </c>
      <c r="AP58" s="2">
        <f>IFERROR(VALUE(LEFT(T58,1)),"")</f>
        <v/>
      </c>
      <c r="AQ58" s="2">
        <f>IFERROR(VALUE(LEFT(U58,1)),"")</f>
        <v/>
      </c>
    </row>
    <row r="59">
      <c r="A59" s="2" t="n">
        <v>58</v>
      </c>
      <c r="B59" s="2" t="inlineStr">
        <is>
          <t>Trường Đại học thuộc ĐHQG</t>
        </is>
      </c>
      <c r="C59" s="2" t="inlineStr">
        <is>
          <t>Sinh viên năm 3-4</t>
        </is>
      </c>
      <c r="D59" s="2" t="inlineStr"/>
      <c r="E59" s="2" t="inlineStr"/>
      <c r="F59" s="2" t="inlineStr">
        <is>
          <t>2 - Ít quan tâm</t>
        </is>
      </c>
      <c r="G59" s="2" t="inlineStr">
        <is>
          <t>4 - Khá quan tâm</t>
        </is>
      </c>
      <c r="H59" s="2" t="inlineStr">
        <is>
          <t>5 - Rất quan tâm</t>
        </is>
      </c>
      <c r="I59" s="2" t="inlineStr">
        <is>
          <t>3 - Bình thường</t>
        </is>
      </c>
      <c r="J59" s="2" t="inlineStr">
        <is>
          <t>4 - Khá quan tâm</t>
        </is>
      </c>
      <c r="K59" s="2" t="inlineStr">
        <is>
          <t>4 - Khá quan tâm</t>
        </is>
      </c>
      <c r="L59" s="2" t="inlineStr">
        <is>
          <t>4 - Khá quan tâm</t>
        </is>
      </c>
      <c r="M59" s="2" t="inlineStr">
        <is>
          <t>4 - Khá quan tâm</t>
        </is>
      </c>
      <c r="N59" s="2" t="inlineStr"/>
      <c r="O59" s="2" t="inlineStr"/>
      <c r="P59" s="2" t="inlineStr"/>
      <c r="Q59" s="2" t="inlineStr"/>
      <c r="R59" s="2" t="inlineStr"/>
      <c r="S59" s="2" t="inlineStr"/>
      <c r="T59" s="2" t="inlineStr"/>
      <c r="U59" s="2" t="inlineStr"/>
      <c r="V59" s="2" t="inlineStr"/>
      <c r="W59" s="2" t="inlineStr">
        <is>
          <t>Có</t>
        </is>
      </c>
      <c r="X59" s="2" t="inlineStr">
        <is>
          <t>Đi làm</t>
        </is>
      </c>
      <c r="Y59" s="2" t="inlineStr"/>
      <c r="Z59" s="2" t="inlineStr">
        <is>
          <t>Có</t>
        </is>
      </c>
      <c r="AA59" s="2" t="inlineStr">
        <is>
          <t>tính năng giúp tìm kiếm mentor trong ngành</t>
        </is>
      </c>
      <c r="AB59" s="2">
        <f>IFERROR(VALUE(LEFT(F59,1)),"")</f>
        <v/>
      </c>
      <c r="AC59" s="2">
        <f>IFERROR(VALUE(LEFT(G59,1)),"")</f>
        <v/>
      </c>
      <c r="AD59" s="2">
        <f>IFERROR(VALUE(LEFT(H59,1)),"")</f>
        <v/>
      </c>
      <c r="AE59" s="2">
        <f>IFERROR(VALUE(LEFT(I59,1)),"")</f>
        <v/>
      </c>
      <c r="AF59" s="2">
        <f>IFERROR(VALUE(LEFT(J59,1)),"")</f>
        <v/>
      </c>
      <c r="AG59" s="2">
        <f>IFERROR(VALUE(LEFT(K59,1)),"")</f>
        <v/>
      </c>
      <c r="AH59" s="2">
        <f>IFERROR(VALUE(LEFT(L59,1)),"")</f>
        <v/>
      </c>
      <c r="AI59" s="2">
        <f>IFERROR(VALUE(LEFT(M59,1)),"")</f>
        <v/>
      </c>
      <c r="AJ59" s="2">
        <f>IFERROR(VALUE(LEFT(N59,1)),"")</f>
        <v/>
      </c>
      <c r="AK59" s="2">
        <f>IFERROR(VALUE(LEFT(O59,1)),"")</f>
        <v/>
      </c>
      <c r="AL59" s="2">
        <f>IFERROR(VALUE(LEFT(P59,1)),"")</f>
        <v/>
      </c>
      <c r="AM59" s="2">
        <f>IFERROR(VALUE(LEFT(Q59,1)),"")</f>
        <v/>
      </c>
      <c r="AN59" s="2">
        <f>IFERROR(VALUE(LEFT(R59,1)),"")</f>
        <v/>
      </c>
      <c r="AO59" s="2">
        <f>IFERROR(VALUE(LEFT(S59,1)),"")</f>
        <v/>
      </c>
      <c r="AP59" s="2">
        <f>IFERROR(VALUE(LEFT(T59,1)),"")</f>
        <v/>
      </c>
      <c r="AQ59" s="2">
        <f>IFERROR(VALUE(LEFT(U59,1)),"")</f>
        <v/>
      </c>
    </row>
    <row r="60">
      <c r="A60" s="2" t="n">
        <v>59</v>
      </c>
      <c r="B60" s="2" t="inlineStr">
        <is>
          <t>Trường Đại học thuộc ĐHQG</t>
        </is>
      </c>
      <c r="C60" s="2" t="inlineStr">
        <is>
          <t>Sinh viên năm 3-4</t>
        </is>
      </c>
      <c r="D60" s="2" t="inlineStr"/>
      <c r="E60" s="2" t="inlineStr"/>
      <c r="F60" s="2" t="inlineStr">
        <is>
          <t>4 - Khá quan tâm</t>
        </is>
      </c>
      <c r="G60" s="2" t="inlineStr">
        <is>
          <t>4 - Khá quan tâm</t>
        </is>
      </c>
      <c r="H60" s="2" t="inlineStr">
        <is>
          <t>4 - Khá quan tâm</t>
        </is>
      </c>
      <c r="I60" s="2" t="inlineStr">
        <is>
          <t>4 - Khá quan tâm</t>
        </is>
      </c>
      <c r="J60" s="2" t="inlineStr">
        <is>
          <t>4 - Khá quan tâm</t>
        </is>
      </c>
      <c r="K60" s="2" t="inlineStr">
        <is>
          <t>5 - Rất quan tâm</t>
        </is>
      </c>
      <c r="L60" s="2" t="inlineStr">
        <is>
          <t>5 - Rất quan tâm</t>
        </is>
      </c>
      <c r="M60" s="2" t="inlineStr">
        <is>
          <t>5 - Rất quan tâm</t>
        </is>
      </c>
      <c r="N60" s="2" t="inlineStr"/>
      <c r="O60" s="2" t="inlineStr"/>
      <c r="P60" s="2" t="inlineStr"/>
      <c r="Q60" s="2" t="inlineStr"/>
      <c r="R60" s="2" t="inlineStr"/>
      <c r="S60" s="2" t="inlineStr"/>
      <c r="T60" s="2" t="inlineStr"/>
      <c r="U60" s="2" t="inlineStr"/>
      <c r="V60" s="2" t="inlineStr"/>
      <c r="W60" s="2" t="inlineStr">
        <is>
          <t>Có</t>
        </is>
      </c>
      <c r="X60" s="2" t="inlineStr">
        <is>
          <t>Đi làm</t>
        </is>
      </c>
      <c r="Y60" s="2" t="inlineStr"/>
      <c r="Z60" s="2" t="inlineStr">
        <is>
          <t>Có thể</t>
        </is>
      </c>
      <c r="AA60" s="2" t="inlineStr">
        <is>
          <t>1. Mentoring 1-1 theo lịch hẹn
2. Có nhiều networking room theo chủ đề hàng tuần
3. Roadmap được cá nhân hóa: gợi ý lộ trình học tập, với kỹ năng cần trang bị cho chuyên ngành hoặc định hướng tương lai</t>
        </is>
      </c>
      <c r="AB60" s="2">
        <f>IFERROR(VALUE(LEFT(F60,1)),"")</f>
        <v/>
      </c>
      <c r="AC60" s="2">
        <f>IFERROR(VALUE(LEFT(G60,1)),"")</f>
        <v/>
      </c>
      <c r="AD60" s="2">
        <f>IFERROR(VALUE(LEFT(H60,1)),"")</f>
        <v/>
      </c>
      <c r="AE60" s="2">
        <f>IFERROR(VALUE(LEFT(I60,1)),"")</f>
        <v/>
      </c>
      <c r="AF60" s="2">
        <f>IFERROR(VALUE(LEFT(J60,1)),"")</f>
        <v/>
      </c>
      <c r="AG60" s="2">
        <f>IFERROR(VALUE(LEFT(K60,1)),"")</f>
        <v/>
      </c>
      <c r="AH60" s="2">
        <f>IFERROR(VALUE(LEFT(L60,1)),"")</f>
        <v/>
      </c>
      <c r="AI60" s="2">
        <f>IFERROR(VALUE(LEFT(M60,1)),"")</f>
        <v/>
      </c>
      <c r="AJ60" s="2">
        <f>IFERROR(VALUE(LEFT(N60,1)),"")</f>
        <v/>
      </c>
      <c r="AK60" s="2">
        <f>IFERROR(VALUE(LEFT(O60,1)),"")</f>
        <v/>
      </c>
      <c r="AL60" s="2">
        <f>IFERROR(VALUE(LEFT(P60,1)),"")</f>
        <v/>
      </c>
      <c r="AM60" s="2">
        <f>IFERROR(VALUE(LEFT(Q60,1)),"")</f>
        <v/>
      </c>
      <c r="AN60" s="2">
        <f>IFERROR(VALUE(LEFT(R60,1)),"")</f>
        <v/>
      </c>
      <c r="AO60" s="2">
        <f>IFERROR(VALUE(LEFT(S60,1)),"")</f>
        <v/>
      </c>
      <c r="AP60" s="2">
        <f>IFERROR(VALUE(LEFT(T60,1)),"")</f>
        <v/>
      </c>
      <c r="AQ60" s="2">
        <f>IFERROR(VALUE(LEFT(U60,1)),"")</f>
        <v/>
      </c>
    </row>
    <row r="61">
      <c r="A61" s="2" t="n">
        <v>60</v>
      </c>
      <c r="B61" s="2" t="inlineStr">
        <is>
          <t>Trường Đại học thuộc ĐHQG</t>
        </is>
      </c>
      <c r="C61" s="2" t="inlineStr">
        <is>
          <t>Sinh viên năm 3-4</t>
        </is>
      </c>
      <c r="D61" s="2" t="inlineStr"/>
      <c r="E61" s="2" t="inlineStr"/>
      <c r="F61" s="2" t="inlineStr">
        <is>
          <t>5 - Rất quan tâm</t>
        </is>
      </c>
      <c r="G61" s="2" t="inlineStr">
        <is>
          <t>4 - Khá quan tâm</t>
        </is>
      </c>
      <c r="H61" s="2" t="inlineStr">
        <is>
          <t>4 - Khá quan tâm</t>
        </is>
      </c>
      <c r="I61" s="2" t="inlineStr">
        <is>
          <t>4 - Khá quan tâm</t>
        </is>
      </c>
      <c r="J61" s="2" t="inlineStr">
        <is>
          <t>4 - Khá quan tâm</t>
        </is>
      </c>
      <c r="K61" s="2" t="inlineStr">
        <is>
          <t>4 - Khá quan tâm</t>
        </is>
      </c>
      <c r="L61" s="2" t="inlineStr">
        <is>
          <t>4 - Khá quan tâm</t>
        </is>
      </c>
      <c r="M61" s="2" t="inlineStr">
        <is>
          <t>4 - Khá quan tâm</t>
        </is>
      </c>
      <c r="N61" s="2" t="inlineStr"/>
      <c r="O61" s="2" t="inlineStr"/>
      <c r="P61" s="2" t="inlineStr"/>
      <c r="Q61" s="2" t="inlineStr"/>
      <c r="R61" s="2" t="inlineStr"/>
      <c r="S61" s="2" t="inlineStr"/>
      <c r="T61" s="2" t="inlineStr"/>
      <c r="U61" s="2" t="inlineStr"/>
      <c r="V61" s="2" t="inlineStr"/>
      <c r="W61" s="2" t="inlineStr">
        <is>
          <t>Không cần thiết</t>
        </is>
      </c>
      <c r="X61" s="2" t="inlineStr">
        <is>
          <t>Chưa xác định</t>
        </is>
      </c>
      <c r="Y61" s="2" t="inlineStr"/>
      <c r="Z61" s="2" t="inlineStr">
        <is>
          <t>Có thể</t>
        </is>
      </c>
      <c r="AA61" s="2" t="inlineStr">
        <is>
          <t>Ko có</t>
        </is>
      </c>
      <c r="AB61" s="2">
        <f>IFERROR(VALUE(LEFT(F61,1)),"")</f>
        <v/>
      </c>
      <c r="AC61" s="2">
        <f>IFERROR(VALUE(LEFT(G61,1)),"")</f>
        <v/>
      </c>
      <c r="AD61" s="2">
        <f>IFERROR(VALUE(LEFT(H61,1)),"")</f>
        <v/>
      </c>
      <c r="AE61" s="2">
        <f>IFERROR(VALUE(LEFT(I61,1)),"")</f>
        <v/>
      </c>
      <c r="AF61" s="2">
        <f>IFERROR(VALUE(LEFT(J61,1)),"")</f>
        <v/>
      </c>
      <c r="AG61" s="2">
        <f>IFERROR(VALUE(LEFT(K61,1)),"")</f>
        <v/>
      </c>
      <c r="AH61" s="2">
        <f>IFERROR(VALUE(LEFT(L61,1)),"")</f>
        <v/>
      </c>
      <c r="AI61" s="2">
        <f>IFERROR(VALUE(LEFT(M61,1)),"")</f>
        <v/>
      </c>
      <c r="AJ61" s="2">
        <f>IFERROR(VALUE(LEFT(N61,1)),"")</f>
        <v/>
      </c>
      <c r="AK61" s="2">
        <f>IFERROR(VALUE(LEFT(O61,1)),"")</f>
        <v/>
      </c>
      <c r="AL61" s="2">
        <f>IFERROR(VALUE(LEFT(P61,1)),"")</f>
        <v/>
      </c>
      <c r="AM61" s="2">
        <f>IFERROR(VALUE(LEFT(Q61,1)),"")</f>
        <v/>
      </c>
      <c r="AN61" s="2">
        <f>IFERROR(VALUE(LEFT(R61,1)),"")</f>
        <v/>
      </c>
      <c r="AO61" s="2">
        <f>IFERROR(VALUE(LEFT(S61,1)),"")</f>
        <v/>
      </c>
      <c r="AP61" s="2">
        <f>IFERROR(VALUE(LEFT(T61,1)),"")</f>
        <v/>
      </c>
      <c r="AQ61" s="2">
        <f>IFERROR(VALUE(LEFT(U61,1)),"")</f>
        <v/>
      </c>
    </row>
    <row r="62">
      <c r="A62" s="2" t="n">
        <v>61</v>
      </c>
      <c r="B62" s="2" t="inlineStr">
        <is>
          <t>Trường Đại học thuộc ĐHQG</t>
        </is>
      </c>
      <c r="C62" s="2" t="inlineStr">
        <is>
          <t>Sinh viên năm 3-4</t>
        </is>
      </c>
      <c r="D62" s="2" t="inlineStr"/>
      <c r="E62" s="2" t="inlineStr"/>
      <c r="F62" s="2" t="inlineStr">
        <is>
          <t>2 - Ít quan tâm</t>
        </is>
      </c>
      <c r="G62" s="2" t="inlineStr">
        <is>
          <t>4 - Khá quan tâm</t>
        </is>
      </c>
      <c r="H62" s="2" t="inlineStr">
        <is>
          <t>5 - Rất quan tâm</t>
        </is>
      </c>
      <c r="I62" s="2" t="inlineStr">
        <is>
          <t>3 - Bình thường</t>
        </is>
      </c>
      <c r="J62" s="2" t="inlineStr">
        <is>
          <t>3 - Bình thường</t>
        </is>
      </c>
      <c r="K62" s="2" t="inlineStr">
        <is>
          <t>5 - Rất quan tâm</t>
        </is>
      </c>
      <c r="L62" s="2" t="inlineStr">
        <is>
          <t>4 - Khá quan tâm</t>
        </is>
      </c>
      <c r="M62" s="2" t="inlineStr">
        <is>
          <t>2 - Ít quan tâm</t>
        </is>
      </c>
      <c r="N62" s="2" t="inlineStr"/>
      <c r="O62" s="2" t="inlineStr"/>
      <c r="P62" s="2" t="inlineStr"/>
      <c r="Q62" s="2" t="inlineStr"/>
      <c r="R62" s="2" t="inlineStr"/>
      <c r="S62" s="2" t="inlineStr"/>
      <c r="T62" s="2" t="inlineStr"/>
      <c r="U62" s="2" t="inlineStr"/>
      <c r="V62" s="2" t="inlineStr"/>
      <c r="W62" s="2" t="inlineStr">
        <is>
          <t>Có nhưng chỉ ngắn hạn (1–2 tháng)</t>
        </is>
      </c>
      <c r="X62" s="2" t="inlineStr">
        <is>
          <t>Đi làm</t>
        </is>
      </c>
      <c r="Y62" s="2" t="inlineStr"/>
      <c r="Z62" s="2" t="inlineStr">
        <is>
          <t>Có thể</t>
        </is>
      </c>
      <c r="AA62" s="2" t="inlineStr">
        <is>
          <t>tính năng tìm kiếm mentor giúp đỡ trong việc tìm kiếm việc làm, nâng cao khả năng làm việc</t>
        </is>
      </c>
      <c r="AB62" s="2">
        <f>IFERROR(VALUE(LEFT(F62,1)),"")</f>
        <v/>
      </c>
      <c r="AC62" s="2">
        <f>IFERROR(VALUE(LEFT(G62,1)),"")</f>
        <v/>
      </c>
      <c r="AD62" s="2">
        <f>IFERROR(VALUE(LEFT(H62,1)),"")</f>
        <v/>
      </c>
      <c r="AE62" s="2">
        <f>IFERROR(VALUE(LEFT(I62,1)),"")</f>
        <v/>
      </c>
      <c r="AF62" s="2">
        <f>IFERROR(VALUE(LEFT(J62,1)),"")</f>
        <v/>
      </c>
      <c r="AG62" s="2">
        <f>IFERROR(VALUE(LEFT(K62,1)),"")</f>
        <v/>
      </c>
      <c r="AH62" s="2">
        <f>IFERROR(VALUE(LEFT(L62,1)),"")</f>
        <v/>
      </c>
      <c r="AI62" s="2">
        <f>IFERROR(VALUE(LEFT(M62,1)),"")</f>
        <v/>
      </c>
      <c r="AJ62" s="2">
        <f>IFERROR(VALUE(LEFT(N62,1)),"")</f>
        <v/>
      </c>
      <c r="AK62" s="2">
        <f>IFERROR(VALUE(LEFT(O62,1)),"")</f>
        <v/>
      </c>
      <c r="AL62" s="2">
        <f>IFERROR(VALUE(LEFT(P62,1)),"")</f>
        <v/>
      </c>
      <c r="AM62" s="2">
        <f>IFERROR(VALUE(LEFT(Q62,1)),"")</f>
        <v/>
      </c>
      <c r="AN62" s="2">
        <f>IFERROR(VALUE(LEFT(R62,1)),"")</f>
        <v/>
      </c>
      <c r="AO62" s="2">
        <f>IFERROR(VALUE(LEFT(S62,1)),"")</f>
        <v/>
      </c>
      <c r="AP62" s="2">
        <f>IFERROR(VALUE(LEFT(T62,1)),"")</f>
        <v/>
      </c>
      <c r="AQ62" s="2">
        <f>IFERROR(VALUE(LEFT(U62,1)),"")</f>
        <v/>
      </c>
    </row>
    <row r="63">
      <c r="A63" s="2" t="n">
        <v>62</v>
      </c>
      <c r="B63" s="2" t="inlineStr">
        <is>
          <t>Trường Đại học ngoài ĐHQG tại Việt Nam</t>
        </is>
      </c>
      <c r="C63" s="2" t="inlineStr">
        <is>
          <t>Sinh viên năm 3-4</t>
        </is>
      </c>
      <c r="D63" s="2" t="inlineStr"/>
      <c r="E63" s="2" t="inlineStr"/>
      <c r="F63" s="2" t="inlineStr">
        <is>
          <t>3 - Bình thường</t>
        </is>
      </c>
      <c r="G63" s="2" t="inlineStr">
        <is>
          <t>4 - Khá quan tâm</t>
        </is>
      </c>
      <c r="H63" s="2" t="inlineStr">
        <is>
          <t>5 - Rất quan tâm</t>
        </is>
      </c>
      <c r="I63" s="2" t="inlineStr">
        <is>
          <t>5 - Rất quan tâm</t>
        </is>
      </c>
      <c r="J63" s="2" t="inlineStr">
        <is>
          <t>5 - Rất quan tâm</t>
        </is>
      </c>
      <c r="K63" s="2" t="inlineStr">
        <is>
          <t>5 - Rất quan tâm</t>
        </is>
      </c>
      <c r="L63" s="2" t="inlineStr">
        <is>
          <t>5 - Rất quan tâm</t>
        </is>
      </c>
      <c r="M63" s="2" t="inlineStr">
        <is>
          <t>4 - Khá quan tâm</t>
        </is>
      </c>
      <c r="N63" s="2" t="inlineStr"/>
      <c r="O63" s="2" t="inlineStr"/>
      <c r="P63" s="2" t="inlineStr"/>
      <c r="Q63" s="2" t="inlineStr"/>
      <c r="R63" s="2" t="inlineStr"/>
      <c r="S63" s="2" t="inlineStr"/>
      <c r="T63" s="2" t="inlineStr"/>
      <c r="U63" s="2" t="inlineStr"/>
      <c r="V63" s="2" t="inlineStr"/>
      <c r="W63" s="2" t="inlineStr">
        <is>
          <t>Có</t>
        </is>
      </c>
      <c r="X63" s="2" t="inlineStr">
        <is>
          <t>Đi làm</t>
        </is>
      </c>
      <c r="Y63" s="2" t="inlineStr"/>
      <c r="Z63" s="2" t="inlineStr">
        <is>
          <t>Có thể</t>
        </is>
      </c>
      <c r="AA63" s="2" t="inlineStr">
        <is>
          <t>Nghề nghiệp và định hướng cao học</t>
        </is>
      </c>
      <c r="AB63" s="2">
        <f>IFERROR(VALUE(LEFT(F63,1)),"")</f>
        <v/>
      </c>
      <c r="AC63" s="2">
        <f>IFERROR(VALUE(LEFT(G63,1)),"")</f>
        <v/>
      </c>
      <c r="AD63" s="2">
        <f>IFERROR(VALUE(LEFT(H63,1)),"")</f>
        <v/>
      </c>
      <c r="AE63" s="2">
        <f>IFERROR(VALUE(LEFT(I63,1)),"")</f>
        <v/>
      </c>
      <c r="AF63" s="2">
        <f>IFERROR(VALUE(LEFT(J63,1)),"")</f>
        <v/>
      </c>
      <c r="AG63" s="2">
        <f>IFERROR(VALUE(LEFT(K63,1)),"")</f>
        <v/>
      </c>
      <c r="AH63" s="2">
        <f>IFERROR(VALUE(LEFT(L63,1)),"")</f>
        <v/>
      </c>
      <c r="AI63" s="2">
        <f>IFERROR(VALUE(LEFT(M63,1)),"")</f>
        <v/>
      </c>
      <c r="AJ63" s="2">
        <f>IFERROR(VALUE(LEFT(N63,1)),"")</f>
        <v/>
      </c>
      <c r="AK63" s="2">
        <f>IFERROR(VALUE(LEFT(O63,1)),"")</f>
        <v/>
      </c>
      <c r="AL63" s="2">
        <f>IFERROR(VALUE(LEFT(P63,1)),"")</f>
        <v/>
      </c>
      <c r="AM63" s="2">
        <f>IFERROR(VALUE(LEFT(Q63,1)),"")</f>
        <v/>
      </c>
      <c r="AN63" s="2">
        <f>IFERROR(VALUE(LEFT(R63,1)),"")</f>
        <v/>
      </c>
      <c r="AO63" s="2">
        <f>IFERROR(VALUE(LEFT(S63,1)),"")</f>
        <v/>
      </c>
      <c r="AP63" s="2">
        <f>IFERROR(VALUE(LEFT(T63,1)),"")</f>
        <v/>
      </c>
      <c r="AQ63" s="2">
        <f>IFERROR(VALUE(LEFT(U63,1)),"")</f>
        <v/>
      </c>
    </row>
    <row r="64">
      <c r="A64" s="2" t="n">
        <v>63</v>
      </c>
      <c r="B64" s="2" t="inlineStr">
        <is>
          <t>Trường Đại học thuộc ĐHQG</t>
        </is>
      </c>
      <c r="C64" s="2" t="inlineStr">
        <is>
          <t>Sinh viên năm 3-4</t>
        </is>
      </c>
      <c r="D64" s="2" t="inlineStr"/>
      <c r="E64" s="2" t="inlineStr"/>
      <c r="F64" s="2" t="inlineStr">
        <is>
          <t>4 - Khá quan tâm</t>
        </is>
      </c>
      <c r="G64" s="2" t="inlineStr">
        <is>
          <t>4 - Khá quan tâm</t>
        </is>
      </c>
      <c r="H64" s="2" t="inlineStr">
        <is>
          <t>3 - Bình thường</t>
        </is>
      </c>
      <c r="I64" s="2" t="inlineStr">
        <is>
          <t>3 - Bình thường</t>
        </is>
      </c>
      <c r="J64" s="2" t="inlineStr">
        <is>
          <t>4 - Khá quan tâm</t>
        </is>
      </c>
      <c r="K64" s="2" t="inlineStr">
        <is>
          <t>4 - Khá quan tâm</t>
        </is>
      </c>
      <c r="L64" s="2" t="inlineStr">
        <is>
          <t>4 - Khá quan tâm</t>
        </is>
      </c>
      <c r="M64" s="2" t="inlineStr">
        <is>
          <t>4 - Khá quan tâm</t>
        </is>
      </c>
      <c r="N64" s="2" t="inlineStr"/>
      <c r="O64" s="2" t="inlineStr"/>
      <c r="P64" s="2" t="inlineStr"/>
      <c r="Q64" s="2" t="inlineStr"/>
      <c r="R64" s="2" t="inlineStr"/>
      <c r="S64" s="2" t="inlineStr"/>
      <c r="T64" s="2" t="inlineStr"/>
      <c r="U64" s="2" t="inlineStr"/>
      <c r="V64" s="2" t="inlineStr"/>
      <c r="W64" s="2" t="inlineStr">
        <is>
          <t>Có nhưng chỉ ngắn hạn (1–2 tháng)</t>
        </is>
      </c>
      <c r="X64" s="2" t="inlineStr">
        <is>
          <t>Đi làm</t>
        </is>
      </c>
      <c r="Y64" s="2" t="inlineStr"/>
      <c r="Z64" s="2" t="inlineStr">
        <is>
          <t>Có thể</t>
        </is>
      </c>
      <c r="AA64" s="2" t="inlineStr">
        <is>
          <t>Không có</t>
        </is>
      </c>
      <c r="AB64" s="2">
        <f>IFERROR(VALUE(LEFT(F64,1)),"")</f>
        <v/>
      </c>
      <c r="AC64" s="2">
        <f>IFERROR(VALUE(LEFT(G64,1)),"")</f>
        <v/>
      </c>
      <c r="AD64" s="2">
        <f>IFERROR(VALUE(LEFT(H64,1)),"")</f>
        <v/>
      </c>
      <c r="AE64" s="2">
        <f>IFERROR(VALUE(LEFT(I64,1)),"")</f>
        <v/>
      </c>
      <c r="AF64" s="2">
        <f>IFERROR(VALUE(LEFT(J64,1)),"")</f>
        <v/>
      </c>
      <c r="AG64" s="2">
        <f>IFERROR(VALUE(LEFT(K64,1)),"")</f>
        <v/>
      </c>
      <c r="AH64" s="2">
        <f>IFERROR(VALUE(LEFT(L64,1)),"")</f>
        <v/>
      </c>
      <c r="AI64" s="2">
        <f>IFERROR(VALUE(LEFT(M64,1)),"")</f>
        <v/>
      </c>
      <c r="AJ64" s="2">
        <f>IFERROR(VALUE(LEFT(N64,1)),"")</f>
        <v/>
      </c>
      <c r="AK64" s="2">
        <f>IFERROR(VALUE(LEFT(O64,1)),"")</f>
        <v/>
      </c>
      <c r="AL64" s="2">
        <f>IFERROR(VALUE(LEFT(P64,1)),"")</f>
        <v/>
      </c>
      <c r="AM64" s="2">
        <f>IFERROR(VALUE(LEFT(Q64,1)),"")</f>
        <v/>
      </c>
      <c r="AN64" s="2">
        <f>IFERROR(VALUE(LEFT(R64,1)),"")</f>
        <v/>
      </c>
      <c r="AO64" s="2">
        <f>IFERROR(VALUE(LEFT(S64,1)),"")</f>
        <v/>
      </c>
      <c r="AP64" s="2">
        <f>IFERROR(VALUE(LEFT(T64,1)),"")</f>
        <v/>
      </c>
      <c r="AQ64" s="2">
        <f>IFERROR(VALUE(LEFT(U64,1)),"")</f>
        <v/>
      </c>
    </row>
    <row r="65">
      <c r="A65" s="2" t="n">
        <v>64</v>
      </c>
      <c r="B65" s="2" t="inlineStr">
        <is>
          <t>Trường Đại học ở nước ngoài</t>
        </is>
      </c>
      <c r="C65" s="2" t="inlineStr">
        <is>
          <t>Sinh viên năm 3-4</t>
        </is>
      </c>
      <c r="D65" s="2" t="inlineStr"/>
      <c r="E65" s="2" t="inlineStr"/>
      <c r="F65" s="2" t="inlineStr">
        <is>
          <t>4 - Khá quan tâm</t>
        </is>
      </c>
      <c r="G65" s="2" t="inlineStr">
        <is>
          <t>3 - Bình thường</t>
        </is>
      </c>
      <c r="H65" s="2" t="inlineStr">
        <is>
          <t>5 - Rất quan tâm</t>
        </is>
      </c>
      <c r="I65" s="2" t="inlineStr">
        <is>
          <t>4 - Khá quan tâm</t>
        </is>
      </c>
      <c r="J65" s="2" t="inlineStr">
        <is>
          <t>4 - Khá quan tâm</t>
        </is>
      </c>
      <c r="K65" s="2" t="inlineStr">
        <is>
          <t>3 - Bình thường</t>
        </is>
      </c>
      <c r="L65" s="2" t="inlineStr">
        <is>
          <t>3 - Bình thường</t>
        </is>
      </c>
      <c r="M65" s="2" t="inlineStr">
        <is>
          <t>5 - Rất quan tâm</t>
        </is>
      </c>
      <c r="N65" s="2" t="inlineStr"/>
      <c r="O65" s="2" t="inlineStr"/>
      <c r="P65" s="2" t="inlineStr"/>
      <c r="Q65" s="2" t="inlineStr"/>
      <c r="R65" s="2" t="inlineStr"/>
      <c r="S65" s="2" t="inlineStr"/>
      <c r="T65" s="2" t="inlineStr"/>
      <c r="U65" s="2" t="inlineStr"/>
      <c r="V65" s="2" t="inlineStr"/>
      <c r="W65" s="2" t="inlineStr">
        <is>
          <t>Có nhưng chỉ ngắn hạn (1–2 tháng)</t>
        </is>
      </c>
      <c r="X65" s="2" t="inlineStr">
        <is>
          <t>Đi làm</t>
        </is>
      </c>
      <c r="Y65" s="2" t="inlineStr"/>
      <c r="Z65" s="2" t="inlineStr">
        <is>
          <t>Có</t>
        </is>
      </c>
      <c r="AA65" s="2" t="inlineStr">
        <is>
          <t>Chưa</t>
        </is>
      </c>
      <c r="AB65" s="2">
        <f>IFERROR(VALUE(LEFT(F65,1)),"")</f>
        <v/>
      </c>
      <c r="AC65" s="2">
        <f>IFERROR(VALUE(LEFT(G65,1)),"")</f>
        <v/>
      </c>
      <c r="AD65" s="2">
        <f>IFERROR(VALUE(LEFT(H65,1)),"")</f>
        <v/>
      </c>
      <c r="AE65" s="2">
        <f>IFERROR(VALUE(LEFT(I65,1)),"")</f>
        <v/>
      </c>
      <c r="AF65" s="2">
        <f>IFERROR(VALUE(LEFT(J65,1)),"")</f>
        <v/>
      </c>
      <c r="AG65" s="2">
        <f>IFERROR(VALUE(LEFT(K65,1)),"")</f>
        <v/>
      </c>
      <c r="AH65" s="2">
        <f>IFERROR(VALUE(LEFT(L65,1)),"")</f>
        <v/>
      </c>
      <c r="AI65" s="2">
        <f>IFERROR(VALUE(LEFT(M65,1)),"")</f>
        <v/>
      </c>
      <c r="AJ65" s="2">
        <f>IFERROR(VALUE(LEFT(N65,1)),"")</f>
        <v/>
      </c>
      <c r="AK65" s="2">
        <f>IFERROR(VALUE(LEFT(O65,1)),"")</f>
        <v/>
      </c>
      <c r="AL65" s="2">
        <f>IFERROR(VALUE(LEFT(P65,1)),"")</f>
        <v/>
      </c>
      <c r="AM65" s="2">
        <f>IFERROR(VALUE(LEFT(Q65,1)),"")</f>
        <v/>
      </c>
      <c r="AN65" s="2">
        <f>IFERROR(VALUE(LEFT(R65,1)),"")</f>
        <v/>
      </c>
      <c r="AO65" s="2">
        <f>IFERROR(VALUE(LEFT(S65,1)),"")</f>
        <v/>
      </c>
      <c r="AP65" s="2">
        <f>IFERROR(VALUE(LEFT(T65,1)),"")</f>
        <v/>
      </c>
      <c r="AQ65" s="2">
        <f>IFERROR(VALUE(LEFT(U65,1)),"")</f>
        <v/>
      </c>
    </row>
    <row r="66">
      <c r="A66" s="2" t="n">
        <v>65</v>
      </c>
      <c r="B66" s="2" t="inlineStr">
        <is>
          <t>Trường Đại học ở nước ngoài</t>
        </is>
      </c>
      <c r="C66" s="2" t="inlineStr">
        <is>
          <t>Sinh viên năm 3-4</t>
        </is>
      </c>
      <c r="D66" s="2" t="inlineStr"/>
      <c r="E66" s="2" t="inlineStr"/>
      <c r="F66" s="2" t="inlineStr">
        <is>
          <t>4 - Khá quan tâm</t>
        </is>
      </c>
      <c r="G66" s="2" t="inlineStr">
        <is>
          <t>4 - Khá quan tâm</t>
        </is>
      </c>
      <c r="H66" s="2" t="inlineStr">
        <is>
          <t>4 - Khá quan tâm</t>
        </is>
      </c>
      <c r="I66" s="2" t="inlineStr">
        <is>
          <t>5 - Rất quan tâm</t>
        </is>
      </c>
      <c r="J66" s="2" t="inlineStr">
        <is>
          <t>4 - Khá quan tâm</t>
        </is>
      </c>
      <c r="K66" s="2" t="inlineStr">
        <is>
          <t>4 - Khá quan tâm</t>
        </is>
      </c>
      <c r="L66" s="2" t="inlineStr">
        <is>
          <t>5 - Rất quan tâm</t>
        </is>
      </c>
      <c r="M66" s="2" t="inlineStr">
        <is>
          <t>5 - Rất quan tâm</t>
        </is>
      </c>
      <c r="N66" s="2" t="inlineStr"/>
      <c r="O66" s="2" t="inlineStr"/>
      <c r="P66" s="2" t="inlineStr"/>
      <c r="Q66" s="2" t="inlineStr"/>
      <c r="R66" s="2" t="inlineStr"/>
      <c r="S66" s="2" t="inlineStr"/>
      <c r="T66" s="2" t="inlineStr"/>
      <c r="U66" s="2" t="inlineStr"/>
      <c r="V66" s="2" t="inlineStr"/>
      <c r="W66" s="2" t="inlineStr">
        <is>
          <t>Không cần thiết</t>
        </is>
      </c>
      <c r="X66" s="2" t="inlineStr">
        <is>
          <t>Đi làm</t>
        </is>
      </c>
      <c r="Y66" s="2" t="inlineStr"/>
      <c r="Z66" s="2" t="inlineStr">
        <is>
          <t>Có thể</t>
        </is>
      </c>
      <c r="AA66" s="2" t="inlineStr">
        <is>
          <t>Tính năng giúp thống kê và gợi ý lộ trình học tập – kỹ năng – chứng chỉ phù hợp theo ngành, giúp sinh viên năm 3–4 định hướng rõ ràng hơn.</t>
        </is>
      </c>
      <c r="AB66" s="2">
        <f>IFERROR(VALUE(LEFT(F66,1)),"")</f>
        <v/>
      </c>
      <c r="AC66" s="2">
        <f>IFERROR(VALUE(LEFT(G66,1)),"")</f>
        <v/>
      </c>
      <c r="AD66" s="2">
        <f>IFERROR(VALUE(LEFT(H66,1)),"")</f>
        <v/>
      </c>
      <c r="AE66" s="2">
        <f>IFERROR(VALUE(LEFT(I66,1)),"")</f>
        <v/>
      </c>
      <c r="AF66" s="2">
        <f>IFERROR(VALUE(LEFT(J66,1)),"")</f>
        <v/>
      </c>
      <c r="AG66" s="2">
        <f>IFERROR(VALUE(LEFT(K66,1)),"")</f>
        <v/>
      </c>
      <c r="AH66" s="2">
        <f>IFERROR(VALUE(LEFT(L66,1)),"")</f>
        <v/>
      </c>
      <c r="AI66" s="2">
        <f>IFERROR(VALUE(LEFT(M66,1)),"")</f>
        <v/>
      </c>
      <c r="AJ66" s="2">
        <f>IFERROR(VALUE(LEFT(N66,1)),"")</f>
        <v/>
      </c>
      <c r="AK66" s="2">
        <f>IFERROR(VALUE(LEFT(O66,1)),"")</f>
        <v/>
      </c>
      <c r="AL66" s="2">
        <f>IFERROR(VALUE(LEFT(P66,1)),"")</f>
        <v/>
      </c>
      <c r="AM66" s="2">
        <f>IFERROR(VALUE(LEFT(Q66,1)),"")</f>
        <v/>
      </c>
      <c r="AN66" s="2">
        <f>IFERROR(VALUE(LEFT(R66,1)),"")</f>
        <v/>
      </c>
      <c r="AO66" s="2">
        <f>IFERROR(VALUE(LEFT(S66,1)),"")</f>
        <v/>
      </c>
      <c r="AP66" s="2">
        <f>IFERROR(VALUE(LEFT(T66,1)),"")</f>
        <v/>
      </c>
      <c r="AQ66" s="2">
        <f>IFERROR(VALUE(LEFT(U66,1)),"")</f>
        <v/>
      </c>
    </row>
    <row r="67">
      <c r="A67" s="2" t="n">
        <v>66</v>
      </c>
      <c r="B67" s="2" t="inlineStr">
        <is>
          <t>Trường Đại học ngoài ĐHQG tại Việt Nam</t>
        </is>
      </c>
      <c r="C67" s="2" t="inlineStr">
        <is>
          <t>Sinh viên năm 3-4</t>
        </is>
      </c>
      <c r="D67" s="2" t="inlineStr"/>
      <c r="E67" s="2" t="inlineStr"/>
      <c r="F67" s="2" t="inlineStr">
        <is>
          <t>4 - Khá quan tâm</t>
        </is>
      </c>
      <c r="G67" s="2" t="inlineStr">
        <is>
          <t>4 - Khá quan tâm</t>
        </is>
      </c>
      <c r="H67" s="2" t="inlineStr">
        <is>
          <t>4 - Khá quan tâm</t>
        </is>
      </c>
      <c r="I67" s="2" t="inlineStr">
        <is>
          <t>4 - Khá quan tâm</t>
        </is>
      </c>
      <c r="J67" s="2" t="inlineStr">
        <is>
          <t>2 - Ít quan tâm</t>
        </is>
      </c>
      <c r="K67" s="2" t="inlineStr">
        <is>
          <t>3 - Bình thường</t>
        </is>
      </c>
      <c r="L67" s="2" t="inlineStr">
        <is>
          <t>4 - Khá quan tâm</t>
        </is>
      </c>
      <c r="M67" s="2" t="inlineStr">
        <is>
          <t>3 - Bình thường</t>
        </is>
      </c>
      <c r="N67" s="2" t="inlineStr"/>
      <c r="O67" s="2" t="inlineStr"/>
      <c r="P67" s="2" t="inlineStr"/>
      <c r="Q67" s="2" t="inlineStr"/>
      <c r="R67" s="2" t="inlineStr"/>
      <c r="S67" s="2" t="inlineStr"/>
      <c r="T67" s="2" t="inlineStr"/>
      <c r="U67" s="2" t="inlineStr"/>
      <c r="V67" s="2" t="inlineStr"/>
      <c r="W67" s="2" t="inlineStr">
        <is>
          <t>Có nhưng chỉ ngắn hạn (1–2 tháng)</t>
        </is>
      </c>
      <c r="X67" s="2" t="inlineStr">
        <is>
          <t>Học tiếp chương trình sau đại học</t>
        </is>
      </c>
      <c r="Y67" s="2" t="inlineStr"/>
      <c r="Z67" s="2" t="inlineStr">
        <is>
          <t>Có</t>
        </is>
      </c>
      <c r="AA67" s="2" t="inlineStr">
        <is>
          <t>Mình không</t>
        </is>
      </c>
      <c r="AB67" s="2">
        <f>IFERROR(VALUE(LEFT(F67,1)),"")</f>
        <v/>
      </c>
      <c r="AC67" s="2">
        <f>IFERROR(VALUE(LEFT(G67,1)),"")</f>
        <v/>
      </c>
      <c r="AD67" s="2">
        <f>IFERROR(VALUE(LEFT(H67,1)),"")</f>
        <v/>
      </c>
      <c r="AE67" s="2">
        <f>IFERROR(VALUE(LEFT(I67,1)),"")</f>
        <v/>
      </c>
      <c r="AF67" s="2">
        <f>IFERROR(VALUE(LEFT(J67,1)),"")</f>
        <v/>
      </c>
      <c r="AG67" s="2">
        <f>IFERROR(VALUE(LEFT(K67,1)),"")</f>
        <v/>
      </c>
      <c r="AH67" s="2">
        <f>IFERROR(VALUE(LEFT(L67,1)),"")</f>
        <v/>
      </c>
      <c r="AI67" s="2">
        <f>IFERROR(VALUE(LEFT(M67,1)),"")</f>
        <v/>
      </c>
      <c r="AJ67" s="2">
        <f>IFERROR(VALUE(LEFT(N67,1)),"")</f>
        <v/>
      </c>
      <c r="AK67" s="2">
        <f>IFERROR(VALUE(LEFT(O67,1)),"")</f>
        <v/>
      </c>
      <c r="AL67" s="2">
        <f>IFERROR(VALUE(LEFT(P67,1)),"")</f>
        <v/>
      </c>
      <c r="AM67" s="2">
        <f>IFERROR(VALUE(LEFT(Q67,1)),"")</f>
        <v/>
      </c>
      <c r="AN67" s="2">
        <f>IFERROR(VALUE(LEFT(R67,1)),"")</f>
        <v/>
      </c>
      <c r="AO67" s="2">
        <f>IFERROR(VALUE(LEFT(S67,1)),"")</f>
        <v/>
      </c>
      <c r="AP67" s="2">
        <f>IFERROR(VALUE(LEFT(T67,1)),"")</f>
        <v/>
      </c>
      <c r="AQ67" s="2">
        <f>IFERROR(VALUE(LEFT(U67,1)),"")</f>
        <v/>
      </c>
    </row>
    <row r="68">
      <c r="A68" s="2" t="n">
        <v>67</v>
      </c>
      <c r="B68" s="2" t="inlineStr">
        <is>
          <t>Trường Đại học thuộc ĐHQG</t>
        </is>
      </c>
      <c r="C68" s="2" t="inlineStr">
        <is>
          <t>Sinh viên năm 3-4</t>
        </is>
      </c>
      <c r="D68" s="2" t="inlineStr"/>
      <c r="E68" s="2" t="inlineStr"/>
      <c r="F68" s="2" t="inlineStr">
        <is>
          <t>5 - Rất quan tâm</t>
        </is>
      </c>
      <c r="G68" s="2" t="inlineStr">
        <is>
          <t>5 - Rất quan tâm</t>
        </is>
      </c>
      <c r="H68" s="2" t="inlineStr">
        <is>
          <t>5 - Rất quan tâm</t>
        </is>
      </c>
      <c r="I68" s="2" t="inlineStr">
        <is>
          <t>5 - Rất quan tâm</t>
        </is>
      </c>
      <c r="J68" s="2" t="inlineStr">
        <is>
          <t>5 - Rất quan tâm</t>
        </is>
      </c>
      <c r="K68" s="2" t="inlineStr">
        <is>
          <t>5 - Rất quan tâm</t>
        </is>
      </c>
      <c r="L68" s="2" t="inlineStr">
        <is>
          <t>5 - Rất quan tâm</t>
        </is>
      </c>
      <c r="M68" s="2" t="inlineStr">
        <is>
          <t>5 - Rất quan tâm</t>
        </is>
      </c>
      <c r="N68" s="2" t="inlineStr"/>
      <c r="O68" s="2" t="inlineStr"/>
      <c r="P68" s="2" t="inlineStr"/>
      <c r="Q68" s="2" t="inlineStr"/>
      <c r="R68" s="2" t="inlineStr"/>
      <c r="S68" s="2" t="inlineStr"/>
      <c r="T68" s="2" t="inlineStr"/>
      <c r="U68" s="2" t="inlineStr"/>
      <c r="V68" s="2" t="inlineStr"/>
      <c r="W68" s="2" t="inlineStr">
        <is>
          <t>Có</t>
        </is>
      </c>
      <c r="X68" s="2" t="inlineStr">
        <is>
          <t>Đi làm</t>
        </is>
      </c>
      <c r="Y68" s="2" t="inlineStr"/>
      <c r="Z68" s="2" t="inlineStr">
        <is>
          <t>Có</t>
        </is>
      </c>
      <c r="AA68" s="2" t="inlineStr">
        <is>
          <t>Không | Nền tảng tổng hợp mọi thông tin</t>
        </is>
      </c>
      <c r="AB68" s="2">
        <f>IFERROR(VALUE(LEFT(F68,1)),"")</f>
        <v/>
      </c>
      <c r="AC68" s="2">
        <f>IFERROR(VALUE(LEFT(G68,1)),"")</f>
        <v/>
      </c>
      <c r="AD68" s="2">
        <f>IFERROR(VALUE(LEFT(H68,1)),"")</f>
        <v/>
      </c>
      <c r="AE68" s="2">
        <f>IFERROR(VALUE(LEFT(I68,1)),"")</f>
        <v/>
      </c>
      <c r="AF68" s="2">
        <f>IFERROR(VALUE(LEFT(J68,1)),"")</f>
        <v/>
      </c>
      <c r="AG68" s="2">
        <f>IFERROR(VALUE(LEFT(K68,1)),"")</f>
        <v/>
      </c>
      <c r="AH68" s="2">
        <f>IFERROR(VALUE(LEFT(L68,1)),"")</f>
        <v/>
      </c>
      <c r="AI68" s="2">
        <f>IFERROR(VALUE(LEFT(M68,1)),"")</f>
        <v/>
      </c>
      <c r="AJ68" s="2">
        <f>IFERROR(VALUE(LEFT(N68,1)),"")</f>
        <v/>
      </c>
      <c r="AK68" s="2">
        <f>IFERROR(VALUE(LEFT(O68,1)),"")</f>
        <v/>
      </c>
      <c r="AL68" s="2">
        <f>IFERROR(VALUE(LEFT(P68,1)),"")</f>
        <v/>
      </c>
      <c r="AM68" s="2">
        <f>IFERROR(VALUE(LEFT(Q68,1)),"")</f>
        <v/>
      </c>
      <c r="AN68" s="2">
        <f>IFERROR(VALUE(LEFT(R68,1)),"")</f>
        <v/>
      </c>
      <c r="AO68" s="2">
        <f>IFERROR(VALUE(LEFT(S68,1)),"")</f>
        <v/>
      </c>
      <c r="AP68" s="2">
        <f>IFERROR(VALUE(LEFT(T68,1)),"")</f>
        <v/>
      </c>
      <c r="AQ68" s="2">
        <f>IFERROR(VALUE(LEFT(U68,1)),"")</f>
        <v/>
      </c>
    </row>
    <row r="69">
      <c r="A69" s="2" t="n">
        <v>68</v>
      </c>
      <c r="B69" s="2" t="inlineStr">
        <is>
          <t>Trường Đại học ngoài ĐHQG tại Việt Nam</t>
        </is>
      </c>
      <c r="C69" s="2" t="inlineStr">
        <is>
          <t>Sinh viên năm 3-4</t>
        </is>
      </c>
      <c r="D69" s="2" t="inlineStr"/>
      <c r="E69" s="2" t="inlineStr"/>
      <c r="F69" s="2" t="inlineStr">
        <is>
          <t>1 - Hoàn toàn không quan tâm</t>
        </is>
      </c>
      <c r="G69" s="2" t="inlineStr">
        <is>
          <t>5 - Rất quan tâm</t>
        </is>
      </c>
      <c r="H69" s="2" t="inlineStr">
        <is>
          <t>3 - Bình thường</t>
        </is>
      </c>
      <c r="I69" s="2" t="inlineStr">
        <is>
          <t>4 - Khá quan tâm</t>
        </is>
      </c>
      <c r="J69" s="2" t="inlineStr">
        <is>
          <t>4 - Khá quan tâm</t>
        </is>
      </c>
      <c r="K69" s="2" t="inlineStr">
        <is>
          <t>5 - Rất quan tâm</t>
        </is>
      </c>
      <c r="L69" s="2" t="inlineStr">
        <is>
          <t>5 - Rất quan tâm</t>
        </is>
      </c>
      <c r="M69" s="2" t="inlineStr">
        <is>
          <t>5 - Rất quan tâm</t>
        </is>
      </c>
      <c r="N69" s="2" t="inlineStr"/>
      <c r="O69" s="2" t="inlineStr"/>
      <c r="P69" s="2" t="inlineStr"/>
      <c r="Q69" s="2" t="inlineStr"/>
      <c r="R69" s="2" t="inlineStr"/>
      <c r="S69" s="2" t="inlineStr"/>
      <c r="T69" s="2" t="inlineStr"/>
      <c r="U69" s="2" t="inlineStr"/>
      <c r="V69" s="2" t="inlineStr"/>
      <c r="W69" s="2" t="inlineStr">
        <is>
          <t>Có nhưng chỉ ngắn hạn (1–2 tháng)</t>
        </is>
      </c>
      <c r="X69" s="2" t="inlineStr">
        <is>
          <t>Đi làm</t>
        </is>
      </c>
      <c r="Y69" s="2" t="inlineStr"/>
      <c r="Z69" s="2" t="inlineStr">
        <is>
          <t>Có thể</t>
        </is>
      </c>
      <c r="AA69" s="2" t="inlineStr">
        <is>
          <t>Chưa biết</t>
        </is>
      </c>
      <c r="AB69" s="2">
        <f>IFERROR(VALUE(LEFT(F69,1)),"")</f>
        <v/>
      </c>
      <c r="AC69" s="2">
        <f>IFERROR(VALUE(LEFT(G69,1)),"")</f>
        <v/>
      </c>
      <c r="AD69" s="2">
        <f>IFERROR(VALUE(LEFT(H69,1)),"")</f>
        <v/>
      </c>
      <c r="AE69" s="2">
        <f>IFERROR(VALUE(LEFT(I69,1)),"")</f>
        <v/>
      </c>
      <c r="AF69" s="2">
        <f>IFERROR(VALUE(LEFT(J69,1)),"")</f>
        <v/>
      </c>
      <c r="AG69" s="2">
        <f>IFERROR(VALUE(LEFT(K69,1)),"")</f>
        <v/>
      </c>
      <c r="AH69" s="2">
        <f>IFERROR(VALUE(LEFT(L69,1)),"")</f>
        <v/>
      </c>
      <c r="AI69" s="2">
        <f>IFERROR(VALUE(LEFT(M69,1)),"")</f>
        <v/>
      </c>
      <c r="AJ69" s="2">
        <f>IFERROR(VALUE(LEFT(N69,1)),"")</f>
        <v/>
      </c>
      <c r="AK69" s="2">
        <f>IFERROR(VALUE(LEFT(O69,1)),"")</f>
        <v/>
      </c>
      <c r="AL69" s="2">
        <f>IFERROR(VALUE(LEFT(P69,1)),"")</f>
        <v/>
      </c>
      <c r="AM69" s="2">
        <f>IFERROR(VALUE(LEFT(Q69,1)),"")</f>
        <v/>
      </c>
      <c r="AN69" s="2">
        <f>IFERROR(VALUE(LEFT(R69,1)),"")</f>
        <v/>
      </c>
      <c r="AO69" s="2">
        <f>IFERROR(VALUE(LEFT(S69,1)),"")</f>
        <v/>
      </c>
      <c r="AP69" s="2">
        <f>IFERROR(VALUE(LEFT(T69,1)),"")</f>
        <v/>
      </c>
      <c r="AQ69" s="2">
        <f>IFERROR(VALUE(LEFT(U69,1)),"")</f>
        <v/>
      </c>
    </row>
    <row r="70">
      <c r="A70" s="2" t="n">
        <v>69</v>
      </c>
      <c r="B70" s="2" t="inlineStr">
        <is>
          <t>Trường Đại học thuộc ĐHQG</t>
        </is>
      </c>
      <c r="C70" s="2" t="inlineStr">
        <is>
          <t>Sinh viên năm 3-4</t>
        </is>
      </c>
      <c r="D70" s="2" t="inlineStr"/>
      <c r="E70" s="2" t="inlineStr"/>
      <c r="F70" s="2" t="inlineStr">
        <is>
          <t>4 - Khá quan tâm</t>
        </is>
      </c>
      <c r="G70" s="2" t="inlineStr">
        <is>
          <t>4 - Khá quan tâm</t>
        </is>
      </c>
      <c r="H70" s="2" t="inlineStr">
        <is>
          <t>3 - Bình thường</t>
        </is>
      </c>
      <c r="I70" s="2" t="inlineStr">
        <is>
          <t>4 - Khá quan tâm</t>
        </is>
      </c>
      <c r="J70" s="2" t="inlineStr">
        <is>
          <t>3 - Bình thường</t>
        </is>
      </c>
      <c r="K70" s="2" t="inlineStr">
        <is>
          <t>4 - Khá quan tâm</t>
        </is>
      </c>
      <c r="L70" s="2" t="inlineStr">
        <is>
          <t>5 - Rất quan tâm</t>
        </is>
      </c>
      <c r="M70" s="2" t="inlineStr">
        <is>
          <t>4 - Khá quan tâm</t>
        </is>
      </c>
      <c r="N70" s="2" t="inlineStr"/>
      <c r="O70" s="2" t="inlineStr"/>
      <c r="P70" s="2" t="inlineStr"/>
      <c r="Q70" s="2" t="inlineStr"/>
      <c r="R70" s="2" t="inlineStr"/>
      <c r="S70" s="2" t="inlineStr"/>
      <c r="T70" s="2" t="inlineStr"/>
      <c r="U70" s="2" t="inlineStr"/>
      <c r="V70" s="2" t="inlineStr"/>
      <c r="W70" s="2" t="inlineStr">
        <is>
          <t>Có nhưng chỉ ngắn hạn (1–2 tháng)</t>
        </is>
      </c>
      <c r="X70" s="2" t="inlineStr">
        <is>
          <t>Đi làm</t>
        </is>
      </c>
      <c r="Y70" s="2" t="inlineStr"/>
      <c r="Z70" s="2" t="inlineStr">
        <is>
          <t>Có thể</t>
        </is>
      </c>
      <c r="AA70" s="2" t="inlineStr">
        <is>
          <t>hong có</t>
        </is>
      </c>
      <c r="AB70" s="2">
        <f>IFERROR(VALUE(LEFT(F70,1)),"")</f>
        <v/>
      </c>
      <c r="AC70" s="2">
        <f>IFERROR(VALUE(LEFT(G70,1)),"")</f>
        <v/>
      </c>
      <c r="AD70" s="2">
        <f>IFERROR(VALUE(LEFT(H70,1)),"")</f>
        <v/>
      </c>
      <c r="AE70" s="2">
        <f>IFERROR(VALUE(LEFT(I70,1)),"")</f>
        <v/>
      </c>
      <c r="AF70" s="2">
        <f>IFERROR(VALUE(LEFT(J70,1)),"")</f>
        <v/>
      </c>
      <c r="AG70" s="2">
        <f>IFERROR(VALUE(LEFT(K70,1)),"")</f>
        <v/>
      </c>
      <c r="AH70" s="2">
        <f>IFERROR(VALUE(LEFT(L70,1)),"")</f>
        <v/>
      </c>
      <c r="AI70" s="2">
        <f>IFERROR(VALUE(LEFT(M70,1)),"")</f>
        <v/>
      </c>
      <c r="AJ70" s="2">
        <f>IFERROR(VALUE(LEFT(N70,1)),"")</f>
        <v/>
      </c>
      <c r="AK70" s="2">
        <f>IFERROR(VALUE(LEFT(O70,1)),"")</f>
        <v/>
      </c>
      <c r="AL70" s="2">
        <f>IFERROR(VALUE(LEFT(P70,1)),"")</f>
        <v/>
      </c>
      <c r="AM70" s="2">
        <f>IFERROR(VALUE(LEFT(Q70,1)),"")</f>
        <v/>
      </c>
      <c r="AN70" s="2">
        <f>IFERROR(VALUE(LEFT(R70,1)),"")</f>
        <v/>
      </c>
      <c r="AO70" s="2">
        <f>IFERROR(VALUE(LEFT(S70,1)),"")</f>
        <v/>
      </c>
      <c r="AP70" s="2">
        <f>IFERROR(VALUE(LEFT(T70,1)),"")</f>
        <v/>
      </c>
      <c r="AQ70" s="2">
        <f>IFERROR(VALUE(LEFT(U70,1)),"")</f>
        <v/>
      </c>
    </row>
    <row r="71">
      <c r="A71" s="2" t="n">
        <v>70</v>
      </c>
      <c r="B71" s="2" t="inlineStr">
        <is>
          <t>Trường Đại học thuộc ĐHQG</t>
        </is>
      </c>
      <c r="C71" s="2" t="inlineStr">
        <is>
          <t>Sinh viên năm 3-4</t>
        </is>
      </c>
      <c r="D71" s="2" t="inlineStr"/>
      <c r="E71" s="2" t="inlineStr"/>
      <c r="F71" s="2" t="inlineStr">
        <is>
          <t>5 - Rất quan tâm</t>
        </is>
      </c>
      <c r="G71" s="2" t="inlineStr">
        <is>
          <t>5 - Rất quan tâm</t>
        </is>
      </c>
      <c r="H71" s="2" t="inlineStr">
        <is>
          <t>5 - Rất quan tâm</t>
        </is>
      </c>
      <c r="I71" s="2" t="inlineStr">
        <is>
          <t>5 - Rất quan tâm</t>
        </is>
      </c>
      <c r="J71" s="2" t="inlineStr">
        <is>
          <t>5 - Rất quan tâm</t>
        </is>
      </c>
      <c r="K71" s="2" t="inlineStr">
        <is>
          <t>5 - Rất quan tâm</t>
        </is>
      </c>
      <c r="L71" s="2" t="inlineStr">
        <is>
          <t>5 - Rất quan tâm</t>
        </is>
      </c>
      <c r="M71" s="2" t="inlineStr">
        <is>
          <t>5 - Rất quan tâm</t>
        </is>
      </c>
      <c r="N71" s="2" t="inlineStr"/>
      <c r="O71" s="2" t="inlineStr"/>
      <c r="P71" s="2" t="inlineStr"/>
      <c r="Q71" s="2" t="inlineStr"/>
      <c r="R71" s="2" t="inlineStr"/>
      <c r="S71" s="2" t="inlineStr"/>
      <c r="T71" s="2" t="inlineStr"/>
      <c r="U71" s="2" t="inlineStr"/>
      <c r="V71" s="2" t="inlineStr"/>
      <c r="W71" s="2" t="inlineStr">
        <is>
          <t>Có</t>
        </is>
      </c>
      <c r="X71" s="2" t="inlineStr">
        <is>
          <t>Đi làm</t>
        </is>
      </c>
      <c r="Y71" s="2" t="inlineStr"/>
      <c r="Z71" s="2" t="inlineStr">
        <is>
          <t>Có</t>
        </is>
      </c>
      <c r="AA71" s="2" t="inlineStr"/>
      <c r="AB71" s="2">
        <f>IFERROR(VALUE(LEFT(F71,1)),"")</f>
        <v/>
      </c>
      <c r="AC71" s="2">
        <f>IFERROR(VALUE(LEFT(G71,1)),"")</f>
        <v/>
      </c>
      <c r="AD71" s="2">
        <f>IFERROR(VALUE(LEFT(H71,1)),"")</f>
        <v/>
      </c>
      <c r="AE71" s="2">
        <f>IFERROR(VALUE(LEFT(I71,1)),"")</f>
        <v/>
      </c>
      <c r="AF71" s="2">
        <f>IFERROR(VALUE(LEFT(J71,1)),"")</f>
        <v/>
      </c>
      <c r="AG71" s="2">
        <f>IFERROR(VALUE(LEFT(K71,1)),"")</f>
        <v/>
      </c>
      <c r="AH71" s="2">
        <f>IFERROR(VALUE(LEFT(L71,1)),"")</f>
        <v/>
      </c>
      <c r="AI71" s="2">
        <f>IFERROR(VALUE(LEFT(M71,1)),"")</f>
        <v/>
      </c>
      <c r="AJ71" s="2">
        <f>IFERROR(VALUE(LEFT(N71,1)),"")</f>
        <v/>
      </c>
      <c r="AK71" s="2">
        <f>IFERROR(VALUE(LEFT(O71,1)),"")</f>
        <v/>
      </c>
      <c r="AL71" s="2">
        <f>IFERROR(VALUE(LEFT(P71,1)),"")</f>
        <v/>
      </c>
      <c r="AM71" s="2">
        <f>IFERROR(VALUE(LEFT(Q71,1)),"")</f>
        <v/>
      </c>
      <c r="AN71" s="2">
        <f>IFERROR(VALUE(LEFT(R71,1)),"")</f>
        <v/>
      </c>
      <c r="AO71" s="2">
        <f>IFERROR(VALUE(LEFT(S71,1)),"")</f>
        <v/>
      </c>
      <c r="AP71" s="2">
        <f>IFERROR(VALUE(LEFT(T71,1)),"")</f>
        <v/>
      </c>
      <c r="AQ71" s="2">
        <f>IFERROR(VALUE(LEFT(U71,1)),"")</f>
        <v/>
      </c>
    </row>
    <row r="72">
      <c r="A72" s="2" t="n">
        <v>71</v>
      </c>
      <c r="B72" s="2" t="inlineStr">
        <is>
          <t>Trường Đại học thuộc ĐHQG</t>
        </is>
      </c>
      <c r="C72" s="2" t="inlineStr">
        <is>
          <t>Sinh viên năm 3-4</t>
        </is>
      </c>
      <c r="D72" s="2" t="inlineStr"/>
      <c r="E72" s="2" t="inlineStr"/>
      <c r="F72" s="2" t="inlineStr">
        <is>
          <t>4 - Khá quan tâm</t>
        </is>
      </c>
      <c r="G72" s="2" t="inlineStr">
        <is>
          <t>4 - Khá quan tâm</t>
        </is>
      </c>
      <c r="H72" s="2" t="inlineStr">
        <is>
          <t>3 - Bình thường</t>
        </is>
      </c>
      <c r="I72" s="2" t="inlineStr">
        <is>
          <t>4 - Khá quan tâm</t>
        </is>
      </c>
      <c r="J72" s="2" t="inlineStr">
        <is>
          <t>3 - Bình thường</t>
        </is>
      </c>
      <c r="K72" s="2" t="inlineStr">
        <is>
          <t>3 - Bình thường</t>
        </is>
      </c>
      <c r="L72" s="2" t="inlineStr">
        <is>
          <t>3 - Bình thường</t>
        </is>
      </c>
      <c r="M72" s="2" t="inlineStr">
        <is>
          <t>4 - Khá quan tâm</t>
        </is>
      </c>
      <c r="N72" s="2" t="inlineStr"/>
      <c r="O72" s="2" t="inlineStr"/>
      <c r="P72" s="2" t="inlineStr"/>
      <c r="Q72" s="2" t="inlineStr"/>
      <c r="R72" s="2" t="inlineStr"/>
      <c r="S72" s="2" t="inlineStr"/>
      <c r="T72" s="2" t="inlineStr"/>
      <c r="U72" s="2" t="inlineStr"/>
      <c r="V72" s="2" t="inlineStr"/>
      <c r="W72" s="2" t="inlineStr">
        <is>
          <t>Có nhưng chỉ ngắn hạn (1–2 tháng)</t>
        </is>
      </c>
      <c r="X72" s="2" t="inlineStr">
        <is>
          <t>Đi làm</t>
        </is>
      </c>
      <c r="Y72" s="2" t="inlineStr"/>
      <c r="Z72" s="2" t="inlineStr">
        <is>
          <t>Có thể</t>
        </is>
      </c>
      <c r="AA72" s="2" t="inlineStr">
        <is>
          <t>Không</t>
        </is>
      </c>
      <c r="AB72" s="2">
        <f>IFERROR(VALUE(LEFT(F72,1)),"")</f>
        <v/>
      </c>
      <c r="AC72" s="2">
        <f>IFERROR(VALUE(LEFT(G72,1)),"")</f>
        <v/>
      </c>
      <c r="AD72" s="2">
        <f>IFERROR(VALUE(LEFT(H72,1)),"")</f>
        <v/>
      </c>
      <c r="AE72" s="2">
        <f>IFERROR(VALUE(LEFT(I72,1)),"")</f>
        <v/>
      </c>
      <c r="AF72" s="2">
        <f>IFERROR(VALUE(LEFT(J72,1)),"")</f>
        <v/>
      </c>
      <c r="AG72" s="2">
        <f>IFERROR(VALUE(LEFT(K72,1)),"")</f>
        <v/>
      </c>
      <c r="AH72" s="2">
        <f>IFERROR(VALUE(LEFT(L72,1)),"")</f>
        <v/>
      </c>
      <c r="AI72" s="2">
        <f>IFERROR(VALUE(LEFT(M72,1)),"")</f>
        <v/>
      </c>
      <c r="AJ72" s="2">
        <f>IFERROR(VALUE(LEFT(N72,1)),"")</f>
        <v/>
      </c>
      <c r="AK72" s="2">
        <f>IFERROR(VALUE(LEFT(O72,1)),"")</f>
        <v/>
      </c>
      <c r="AL72" s="2">
        <f>IFERROR(VALUE(LEFT(P72,1)),"")</f>
        <v/>
      </c>
      <c r="AM72" s="2">
        <f>IFERROR(VALUE(LEFT(Q72,1)),"")</f>
        <v/>
      </c>
      <c r="AN72" s="2">
        <f>IFERROR(VALUE(LEFT(R72,1)),"")</f>
        <v/>
      </c>
      <c r="AO72" s="2">
        <f>IFERROR(VALUE(LEFT(S72,1)),"")</f>
        <v/>
      </c>
      <c r="AP72" s="2">
        <f>IFERROR(VALUE(LEFT(T72,1)),"")</f>
        <v/>
      </c>
      <c r="AQ72" s="2">
        <f>IFERROR(VALUE(LEFT(U72,1)),"")</f>
        <v/>
      </c>
    </row>
    <row r="73">
      <c r="A73" s="2" t="n">
        <v>72</v>
      </c>
      <c r="B73" s="2" t="inlineStr">
        <is>
          <t>Trường Đại học thuộc ĐHQG</t>
        </is>
      </c>
      <c r="C73" s="2" t="inlineStr">
        <is>
          <t>Sinh viên năm 3-4</t>
        </is>
      </c>
      <c r="D73" s="2" t="inlineStr"/>
      <c r="E73" s="2" t="inlineStr"/>
      <c r="F73" s="2" t="inlineStr">
        <is>
          <t>3 - Bình thường</t>
        </is>
      </c>
      <c r="G73" s="2" t="inlineStr">
        <is>
          <t>5 - Rất quan tâm</t>
        </is>
      </c>
      <c r="H73" s="2" t="inlineStr">
        <is>
          <t>4 - Khá quan tâm</t>
        </is>
      </c>
      <c r="I73" s="2" t="inlineStr">
        <is>
          <t>4 - Khá quan tâm</t>
        </is>
      </c>
      <c r="J73" s="2" t="inlineStr">
        <is>
          <t>5 - Rất quan tâm</t>
        </is>
      </c>
      <c r="K73" s="2" t="inlineStr">
        <is>
          <t>5 - Rất quan tâm</t>
        </is>
      </c>
      <c r="L73" s="2" t="inlineStr">
        <is>
          <t>5 - Rất quan tâm</t>
        </is>
      </c>
      <c r="M73" s="2" t="inlineStr">
        <is>
          <t>4 - Khá quan tâm</t>
        </is>
      </c>
      <c r="N73" s="2" t="inlineStr"/>
      <c r="O73" s="2" t="inlineStr"/>
      <c r="P73" s="2" t="inlineStr"/>
      <c r="Q73" s="2" t="inlineStr"/>
      <c r="R73" s="2" t="inlineStr"/>
      <c r="S73" s="2" t="inlineStr"/>
      <c r="T73" s="2" t="inlineStr"/>
      <c r="U73" s="2" t="inlineStr"/>
      <c r="V73" s="2" t="inlineStr"/>
      <c r="W73" s="2" t="inlineStr">
        <is>
          <t>Có</t>
        </is>
      </c>
      <c r="X73" s="2" t="inlineStr">
        <is>
          <t>Chưa xác định</t>
        </is>
      </c>
      <c r="Y73" s="2" t="inlineStr"/>
      <c r="Z73" s="2" t="inlineStr">
        <is>
          <t>Có</t>
        </is>
      </c>
      <c r="AA73" s="2" t="inlineStr">
        <is>
          <t>Chưa nghĩ ra</t>
        </is>
      </c>
      <c r="AB73" s="2">
        <f>IFERROR(VALUE(LEFT(F73,1)),"")</f>
        <v/>
      </c>
      <c r="AC73" s="2">
        <f>IFERROR(VALUE(LEFT(G73,1)),"")</f>
        <v/>
      </c>
      <c r="AD73" s="2">
        <f>IFERROR(VALUE(LEFT(H73,1)),"")</f>
        <v/>
      </c>
      <c r="AE73" s="2">
        <f>IFERROR(VALUE(LEFT(I73,1)),"")</f>
        <v/>
      </c>
      <c r="AF73" s="2">
        <f>IFERROR(VALUE(LEFT(J73,1)),"")</f>
        <v/>
      </c>
      <c r="AG73" s="2">
        <f>IFERROR(VALUE(LEFT(K73,1)),"")</f>
        <v/>
      </c>
      <c r="AH73" s="2">
        <f>IFERROR(VALUE(LEFT(L73,1)),"")</f>
        <v/>
      </c>
      <c r="AI73" s="2">
        <f>IFERROR(VALUE(LEFT(M73,1)),"")</f>
        <v/>
      </c>
      <c r="AJ73" s="2">
        <f>IFERROR(VALUE(LEFT(N73,1)),"")</f>
        <v/>
      </c>
      <c r="AK73" s="2">
        <f>IFERROR(VALUE(LEFT(O73,1)),"")</f>
        <v/>
      </c>
      <c r="AL73" s="2">
        <f>IFERROR(VALUE(LEFT(P73,1)),"")</f>
        <v/>
      </c>
      <c r="AM73" s="2">
        <f>IFERROR(VALUE(LEFT(Q73,1)),"")</f>
        <v/>
      </c>
      <c r="AN73" s="2">
        <f>IFERROR(VALUE(LEFT(R73,1)),"")</f>
        <v/>
      </c>
      <c r="AO73" s="2">
        <f>IFERROR(VALUE(LEFT(S73,1)),"")</f>
        <v/>
      </c>
      <c r="AP73" s="2">
        <f>IFERROR(VALUE(LEFT(T73,1)),"")</f>
        <v/>
      </c>
      <c r="AQ73" s="2">
        <f>IFERROR(VALUE(LEFT(U73,1)),"")</f>
        <v/>
      </c>
    </row>
    <row r="74">
      <c r="A74" s="2" t="n">
        <v>73</v>
      </c>
      <c r="B74" s="2" t="inlineStr">
        <is>
          <t>Trường Đại học thuộc ĐHQG</t>
        </is>
      </c>
      <c r="C74" s="2" t="inlineStr">
        <is>
          <t>Sinh viên năm 3-4</t>
        </is>
      </c>
      <c r="D74" s="2" t="inlineStr"/>
      <c r="E74" s="2" t="inlineStr"/>
      <c r="F74" s="2" t="inlineStr">
        <is>
          <t>5 - Rất quan tâm</t>
        </is>
      </c>
      <c r="G74" s="2" t="inlineStr">
        <is>
          <t>5 - Rất quan tâm</t>
        </is>
      </c>
      <c r="H74" s="2" t="inlineStr">
        <is>
          <t>3 - Bình thường</t>
        </is>
      </c>
      <c r="I74" s="2" t="inlineStr">
        <is>
          <t>3 - Bình thường</t>
        </is>
      </c>
      <c r="J74" s="2" t="inlineStr">
        <is>
          <t>3 - Bình thường</t>
        </is>
      </c>
      <c r="K74" s="2" t="inlineStr">
        <is>
          <t>4 - Khá quan tâm</t>
        </is>
      </c>
      <c r="L74" s="2" t="inlineStr">
        <is>
          <t>4 - Khá quan tâm</t>
        </is>
      </c>
      <c r="M74" s="2" t="inlineStr">
        <is>
          <t>4 - Khá quan tâm</t>
        </is>
      </c>
      <c r="N74" s="2" t="inlineStr"/>
      <c r="O74" s="2" t="inlineStr"/>
      <c r="P74" s="2" t="inlineStr"/>
      <c r="Q74" s="2" t="inlineStr"/>
      <c r="R74" s="2" t="inlineStr"/>
      <c r="S74" s="2" t="inlineStr"/>
      <c r="T74" s="2" t="inlineStr"/>
      <c r="U74" s="2" t="inlineStr"/>
      <c r="V74" s="2" t="inlineStr"/>
      <c r="W74" s="2" t="inlineStr">
        <is>
          <t>Có nhưng chỉ ngắn hạn (1–2 tháng)</t>
        </is>
      </c>
      <c r="X74" s="2" t="inlineStr">
        <is>
          <t>Đi làm</t>
        </is>
      </c>
      <c r="Y74" s="2" t="inlineStr"/>
      <c r="Z74" s="2" t="inlineStr">
        <is>
          <t>Có thể</t>
        </is>
      </c>
      <c r="AA74" s="2" t="inlineStr">
        <is>
          <t>Không</t>
        </is>
      </c>
      <c r="AB74" s="2">
        <f>IFERROR(VALUE(LEFT(F74,1)),"")</f>
        <v/>
      </c>
      <c r="AC74" s="2">
        <f>IFERROR(VALUE(LEFT(G74,1)),"")</f>
        <v/>
      </c>
      <c r="AD74" s="2">
        <f>IFERROR(VALUE(LEFT(H74,1)),"")</f>
        <v/>
      </c>
      <c r="AE74" s="2">
        <f>IFERROR(VALUE(LEFT(I74,1)),"")</f>
        <v/>
      </c>
      <c r="AF74" s="2">
        <f>IFERROR(VALUE(LEFT(J74,1)),"")</f>
        <v/>
      </c>
      <c r="AG74" s="2">
        <f>IFERROR(VALUE(LEFT(K74,1)),"")</f>
        <v/>
      </c>
      <c r="AH74" s="2">
        <f>IFERROR(VALUE(LEFT(L74,1)),"")</f>
        <v/>
      </c>
      <c r="AI74" s="2">
        <f>IFERROR(VALUE(LEFT(M74,1)),"")</f>
        <v/>
      </c>
      <c r="AJ74" s="2">
        <f>IFERROR(VALUE(LEFT(N74,1)),"")</f>
        <v/>
      </c>
      <c r="AK74" s="2">
        <f>IFERROR(VALUE(LEFT(O74,1)),"")</f>
        <v/>
      </c>
      <c r="AL74" s="2">
        <f>IFERROR(VALUE(LEFT(P74,1)),"")</f>
        <v/>
      </c>
      <c r="AM74" s="2">
        <f>IFERROR(VALUE(LEFT(Q74,1)),"")</f>
        <v/>
      </c>
      <c r="AN74" s="2">
        <f>IFERROR(VALUE(LEFT(R74,1)),"")</f>
        <v/>
      </c>
      <c r="AO74" s="2">
        <f>IFERROR(VALUE(LEFT(S74,1)),"")</f>
        <v/>
      </c>
      <c r="AP74" s="2">
        <f>IFERROR(VALUE(LEFT(T74,1)),"")</f>
        <v/>
      </c>
      <c r="AQ74" s="2">
        <f>IFERROR(VALUE(LEFT(U74,1)),"")</f>
        <v/>
      </c>
    </row>
    <row r="75">
      <c r="A75" s="2" t="n">
        <v>74</v>
      </c>
      <c r="B75" s="2" t="inlineStr">
        <is>
          <t>Trường Đại học thuộc ĐHQG</t>
        </is>
      </c>
      <c r="C75" s="2" t="inlineStr">
        <is>
          <t>Sinh viên năm 3-4</t>
        </is>
      </c>
      <c r="D75" s="2" t="inlineStr"/>
      <c r="E75" s="2" t="inlineStr"/>
      <c r="F75" s="2" t="inlineStr">
        <is>
          <t>4 - Khá quan tâm</t>
        </is>
      </c>
      <c r="G75" s="2" t="inlineStr">
        <is>
          <t>4 - Khá quan tâm</t>
        </is>
      </c>
      <c r="H75" s="2" t="inlineStr">
        <is>
          <t>3 - Bình thường</t>
        </is>
      </c>
      <c r="I75" s="2" t="inlineStr">
        <is>
          <t>4 - Khá quan tâm</t>
        </is>
      </c>
      <c r="J75" s="2" t="inlineStr">
        <is>
          <t>3 - Bình thường</t>
        </is>
      </c>
      <c r="K75" s="2" t="inlineStr">
        <is>
          <t>5 - Rất quan tâm</t>
        </is>
      </c>
      <c r="L75" s="2" t="inlineStr">
        <is>
          <t>4 - Khá quan tâm</t>
        </is>
      </c>
      <c r="M75" s="2" t="inlineStr">
        <is>
          <t>3 - Bình thường</t>
        </is>
      </c>
      <c r="N75" s="2" t="inlineStr"/>
      <c r="O75" s="2" t="inlineStr"/>
      <c r="P75" s="2" t="inlineStr"/>
      <c r="Q75" s="2" t="inlineStr"/>
      <c r="R75" s="2" t="inlineStr"/>
      <c r="S75" s="2" t="inlineStr"/>
      <c r="T75" s="2" t="inlineStr"/>
      <c r="U75" s="2" t="inlineStr"/>
      <c r="V75" s="2" t="inlineStr"/>
      <c r="W75" s="2" t="inlineStr">
        <is>
          <t>Có nhưng chỉ ngắn hạn (1–2 tháng)</t>
        </is>
      </c>
      <c r="X75" s="2" t="inlineStr">
        <is>
          <t>Đi làm</t>
        </is>
      </c>
      <c r="Y75" s="2" t="inlineStr"/>
      <c r="Z75" s="2" t="inlineStr"/>
      <c r="AA75" s="2" t="inlineStr">
        <is>
          <t>Tôi không biết</t>
        </is>
      </c>
      <c r="AB75" s="2">
        <f>IFERROR(VALUE(LEFT(F75,1)),"")</f>
        <v/>
      </c>
      <c r="AC75" s="2">
        <f>IFERROR(VALUE(LEFT(G75,1)),"")</f>
        <v/>
      </c>
      <c r="AD75" s="2">
        <f>IFERROR(VALUE(LEFT(H75,1)),"")</f>
        <v/>
      </c>
      <c r="AE75" s="2">
        <f>IFERROR(VALUE(LEFT(I75,1)),"")</f>
        <v/>
      </c>
      <c r="AF75" s="2">
        <f>IFERROR(VALUE(LEFT(J75,1)),"")</f>
        <v/>
      </c>
      <c r="AG75" s="2">
        <f>IFERROR(VALUE(LEFT(K75,1)),"")</f>
        <v/>
      </c>
      <c r="AH75" s="2">
        <f>IFERROR(VALUE(LEFT(L75,1)),"")</f>
        <v/>
      </c>
      <c r="AI75" s="2">
        <f>IFERROR(VALUE(LEFT(M75,1)),"")</f>
        <v/>
      </c>
      <c r="AJ75" s="2">
        <f>IFERROR(VALUE(LEFT(N75,1)),"")</f>
        <v/>
      </c>
      <c r="AK75" s="2">
        <f>IFERROR(VALUE(LEFT(O75,1)),"")</f>
        <v/>
      </c>
      <c r="AL75" s="2">
        <f>IFERROR(VALUE(LEFT(P75,1)),"")</f>
        <v/>
      </c>
      <c r="AM75" s="2">
        <f>IFERROR(VALUE(LEFT(Q75,1)),"")</f>
        <v/>
      </c>
      <c r="AN75" s="2">
        <f>IFERROR(VALUE(LEFT(R75,1)),"")</f>
        <v/>
      </c>
      <c r="AO75" s="2">
        <f>IFERROR(VALUE(LEFT(S75,1)),"")</f>
        <v/>
      </c>
      <c r="AP75" s="2">
        <f>IFERROR(VALUE(LEFT(T75,1)),"")</f>
        <v/>
      </c>
      <c r="AQ75" s="2">
        <f>IFERROR(VALUE(LEFT(U75,1)),"")</f>
        <v/>
      </c>
    </row>
    <row r="76">
      <c r="A76" s="2" t="n">
        <v>75</v>
      </c>
      <c r="B76" s="2" t="inlineStr">
        <is>
          <t>HIU</t>
        </is>
      </c>
      <c r="C76" s="2" t="inlineStr">
        <is>
          <t>Sinh viên năm 3-4</t>
        </is>
      </c>
      <c r="D76" s="2" t="inlineStr"/>
      <c r="E76" s="2" t="inlineStr"/>
      <c r="F76" s="2" t="inlineStr">
        <is>
          <t>5 - Rất quan tâm</t>
        </is>
      </c>
      <c r="G76" s="2" t="inlineStr">
        <is>
          <t>5 - Rất quan tâm</t>
        </is>
      </c>
      <c r="H76" s="2" t="inlineStr">
        <is>
          <t>5 - Rất quan tâm</t>
        </is>
      </c>
      <c r="I76" s="2" t="inlineStr">
        <is>
          <t>5 - Rất quan tâm</t>
        </is>
      </c>
      <c r="J76" s="2" t="inlineStr">
        <is>
          <t>5 - Rất quan tâm</t>
        </is>
      </c>
      <c r="K76" s="2" t="inlineStr">
        <is>
          <t>5 - Rất quan tâm</t>
        </is>
      </c>
      <c r="L76" s="2" t="inlineStr">
        <is>
          <t>5 - Rất quan tâm</t>
        </is>
      </c>
      <c r="M76" s="2" t="inlineStr">
        <is>
          <t>5 - Rất quan tâm</t>
        </is>
      </c>
      <c r="N76" s="2" t="inlineStr"/>
      <c r="O76" s="2" t="inlineStr"/>
      <c r="P76" s="2" t="inlineStr"/>
      <c r="Q76" s="2" t="inlineStr"/>
      <c r="R76" s="2" t="inlineStr"/>
      <c r="S76" s="2" t="inlineStr"/>
      <c r="T76" s="2" t="inlineStr"/>
      <c r="U76" s="2" t="inlineStr"/>
      <c r="V76" s="2" t="inlineStr"/>
      <c r="W76" s="2" t="inlineStr">
        <is>
          <t>Có</t>
        </is>
      </c>
      <c r="X76" s="2" t="inlineStr">
        <is>
          <t>Học tiếp chương trình sau đại học</t>
        </is>
      </c>
      <c r="Y76" s="2" t="inlineStr"/>
      <c r="Z76" s="2" t="inlineStr">
        <is>
          <t>Có thể</t>
        </is>
      </c>
      <c r="AA76" s="2" t="inlineStr">
        <is>
          <t>Không</t>
        </is>
      </c>
      <c r="AB76" s="2">
        <f>IFERROR(VALUE(LEFT(F76,1)),"")</f>
        <v/>
      </c>
      <c r="AC76" s="2">
        <f>IFERROR(VALUE(LEFT(G76,1)),"")</f>
        <v/>
      </c>
      <c r="AD76" s="2">
        <f>IFERROR(VALUE(LEFT(H76,1)),"")</f>
        <v/>
      </c>
      <c r="AE76" s="2">
        <f>IFERROR(VALUE(LEFT(I76,1)),"")</f>
        <v/>
      </c>
      <c r="AF76" s="2">
        <f>IFERROR(VALUE(LEFT(J76,1)),"")</f>
        <v/>
      </c>
      <c r="AG76" s="2">
        <f>IFERROR(VALUE(LEFT(K76,1)),"")</f>
        <v/>
      </c>
      <c r="AH76" s="2">
        <f>IFERROR(VALUE(LEFT(L76,1)),"")</f>
        <v/>
      </c>
      <c r="AI76" s="2">
        <f>IFERROR(VALUE(LEFT(M76,1)),"")</f>
        <v/>
      </c>
      <c r="AJ76" s="2">
        <f>IFERROR(VALUE(LEFT(N76,1)),"")</f>
        <v/>
      </c>
      <c r="AK76" s="2">
        <f>IFERROR(VALUE(LEFT(O76,1)),"")</f>
        <v/>
      </c>
      <c r="AL76" s="2">
        <f>IFERROR(VALUE(LEFT(P76,1)),"")</f>
        <v/>
      </c>
      <c r="AM76" s="2">
        <f>IFERROR(VALUE(LEFT(Q76,1)),"")</f>
        <v/>
      </c>
      <c r="AN76" s="2">
        <f>IFERROR(VALUE(LEFT(R76,1)),"")</f>
        <v/>
      </c>
      <c r="AO76" s="2">
        <f>IFERROR(VALUE(LEFT(S76,1)),"")</f>
        <v/>
      </c>
      <c r="AP76" s="2">
        <f>IFERROR(VALUE(LEFT(T76,1)),"")</f>
        <v/>
      </c>
      <c r="AQ76" s="2">
        <f>IFERROR(VALUE(LEFT(U76,1)),"")</f>
        <v/>
      </c>
    </row>
    <row r="77">
      <c r="A77" s="2" t="n">
        <v>76</v>
      </c>
      <c r="B77" s="2" t="inlineStr">
        <is>
          <t>Trường Đại học thuộc ĐHQG</t>
        </is>
      </c>
      <c r="C77" s="2" t="inlineStr">
        <is>
          <t>Sinh viên năm 3-4</t>
        </is>
      </c>
      <c r="D77" s="2" t="inlineStr"/>
      <c r="E77" s="2" t="inlineStr"/>
      <c r="F77" s="2" t="inlineStr">
        <is>
          <t>4 - Khá quan tâm</t>
        </is>
      </c>
      <c r="G77" s="2" t="inlineStr">
        <is>
          <t>5 - Rất quan tâm</t>
        </is>
      </c>
      <c r="H77" s="2" t="inlineStr">
        <is>
          <t>3 - Bình thường</t>
        </is>
      </c>
      <c r="I77" s="2" t="inlineStr">
        <is>
          <t>5 - Rất quan tâm</t>
        </is>
      </c>
      <c r="J77" s="2" t="inlineStr">
        <is>
          <t>3 - Bình thường</t>
        </is>
      </c>
      <c r="K77" s="2" t="inlineStr">
        <is>
          <t>4 - Khá quan tâm</t>
        </is>
      </c>
      <c r="L77" s="2" t="inlineStr">
        <is>
          <t>4 - Khá quan tâm</t>
        </is>
      </c>
      <c r="M77" s="2" t="inlineStr">
        <is>
          <t>5 - Rất quan tâm</t>
        </is>
      </c>
      <c r="N77" s="2" t="inlineStr"/>
      <c r="O77" s="2" t="inlineStr"/>
      <c r="P77" s="2" t="inlineStr"/>
      <c r="Q77" s="2" t="inlineStr"/>
      <c r="R77" s="2" t="inlineStr"/>
      <c r="S77" s="2" t="inlineStr"/>
      <c r="T77" s="2" t="inlineStr"/>
      <c r="U77" s="2" t="inlineStr"/>
      <c r="V77" s="2" t="inlineStr"/>
      <c r="W77" s="2" t="inlineStr">
        <is>
          <t>Có nhưng chỉ ngắn hạn (1–2 tháng)</t>
        </is>
      </c>
      <c r="X77" s="2" t="inlineStr">
        <is>
          <t>Học tiếp chương trình sau đại học</t>
        </is>
      </c>
      <c r="Y77" s="2" t="inlineStr"/>
      <c r="Z77" s="2" t="inlineStr">
        <is>
          <t>Có thể</t>
        </is>
      </c>
      <c r="AA77" s="2" t="inlineStr">
        <is>
          <t>Kết nối người từng học chương trình mà mình quan tâm</t>
        </is>
      </c>
      <c r="AB77" s="2">
        <f>IFERROR(VALUE(LEFT(F77,1)),"")</f>
        <v/>
      </c>
      <c r="AC77" s="2">
        <f>IFERROR(VALUE(LEFT(G77,1)),"")</f>
        <v/>
      </c>
      <c r="AD77" s="2">
        <f>IFERROR(VALUE(LEFT(H77,1)),"")</f>
        <v/>
      </c>
      <c r="AE77" s="2">
        <f>IFERROR(VALUE(LEFT(I77,1)),"")</f>
        <v/>
      </c>
      <c r="AF77" s="2">
        <f>IFERROR(VALUE(LEFT(J77,1)),"")</f>
        <v/>
      </c>
      <c r="AG77" s="2">
        <f>IFERROR(VALUE(LEFT(K77,1)),"")</f>
        <v/>
      </c>
      <c r="AH77" s="2">
        <f>IFERROR(VALUE(LEFT(L77,1)),"")</f>
        <v/>
      </c>
      <c r="AI77" s="2">
        <f>IFERROR(VALUE(LEFT(M77,1)),"")</f>
        <v/>
      </c>
      <c r="AJ77" s="2">
        <f>IFERROR(VALUE(LEFT(N77,1)),"")</f>
        <v/>
      </c>
      <c r="AK77" s="2">
        <f>IFERROR(VALUE(LEFT(O77,1)),"")</f>
        <v/>
      </c>
      <c r="AL77" s="2">
        <f>IFERROR(VALUE(LEFT(P77,1)),"")</f>
        <v/>
      </c>
      <c r="AM77" s="2">
        <f>IFERROR(VALUE(LEFT(Q77,1)),"")</f>
        <v/>
      </c>
      <c r="AN77" s="2">
        <f>IFERROR(VALUE(LEFT(R77,1)),"")</f>
        <v/>
      </c>
      <c r="AO77" s="2">
        <f>IFERROR(VALUE(LEFT(S77,1)),"")</f>
        <v/>
      </c>
      <c r="AP77" s="2">
        <f>IFERROR(VALUE(LEFT(T77,1)),"")</f>
        <v/>
      </c>
      <c r="AQ77" s="2">
        <f>IFERROR(VALUE(LEFT(U77,1)),"")</f>
        <v/>
      </c>
    </row>
    <row r="78">
      <c r="A78" s="2" t="n">
        <v>77</v>
      </c>
      <c r="B78" s="2" t="inlineStr">
        <is>
          <t>Trường Đại học thuộc ĐHQG</t>
        </is>
      </c>
      <c r="C78" s="2" t="inlineStr">
        <is>
          <t>Cựu sinh viên</t>
        </is>
      </c>
      <c r="D78" s="2" t="inlineStr">
        <is>
          <t>Không</t>
        </is>
      </c>
      <c r="E78" s="2" t="inlineStr">
        <is>
          <t>Có nhưng phải che bớt thông tin</t>
        </is>
      </c>
      <c r="F78" s="2" t="inlineStr"/>
      <c r="G78" s="2" t="inlineStr"/>
      <c r="H78" s="2" t="inlineStr"/>
      <c r="I78" s="2" t="inlineStr"/>
      <c r="J78" s="2" t="inlineStr"/>
      <c r="K78" s="2" t="inlineStr"/>
      <c r="L78" s="2" t="inlineStr"/>
      <c r="M78" s="2" t="inlineStr"/>
      <c r="N78" s="2" t="inlineStr">
        <is>
          <t>3.0</t>
        </is>
      </c>
      <c r="O78" s="2" t="inlineStr">
        <is>
          <t>2.0</t>
        </is>
      </c>
      <c r="P78" s="2" t="inlineStr">
        <is>
          <t>3.0</t>
        </is>
      </c>
      <c r="Q78" s="2" t="inlineStr">
        <is>
          <t>2.0</t>
        </is>
      </c>
      <c r="R78" s="2" t="inlineStr">
        <is>
          <t>3.0</t>
        </is>
      </c>
      <c r="S78" s="2" t="inlineStr">
        <is>
          <t>2.0</t>
        </is>
      </c>
      <c r="T78" s="2" t="inlineStr">
        <is>
          <t>3.0</t>
        </is>
      </c>
      <c r="U78" s="2" t="inlineStr">
        <is>
          <t>2.0</t>
        </is>
      </c>
      <c r="V78" s="2" t="inlineStr">
        <is>
          <t>Chưa chắc chắn (cần tìm hiểu thêm)</t>
        </is>
      </c>
      <c r="W78" s="2" t="inlineStr"/>
      <c r="X78" s="2" t="inlineStr"/>
      <c r="Y78" s="2" t="inlineStr">
        <is>
          <t>Diễn đàn chia sẻ / Q&amp;A</t>
        </is>
      </c>
      <c r="Z78" s="2" t="inlineStr"/>
      <c r="AA78" s="2" t="inlineStr">
        <is>
          <t>Không biết</t>
        </is>
      </c>
      <c r="AB78" s="2">
        <f>IFERROR(VALUE(LEFT(F78,1)),"")</f>
        <v/>
      </c>
      <c r="AC78" s="2">
        <f>IFERROR(VALUE(LEFT(G78,1)),"")</f>
        <v/>
      </c>
      <c r="AD78" s="2">
        <f>IFERROR(VALUE(LEFT(H78,1)),"")</f>
        <v/>
      </c>
      <c r="AE78" s="2">
        <f>IFERROR(VALUE(LEFT(I78,1)),"")</f>
        <v/>
      </c>
      <c r="AF78" s="2">
        <f>IFERROR(VALUE(LEFT(J78,1)),"")</f>
        <v/>
      </c>
      <c r="AG78" s="2">
        <f>IFERROR(VALUE(LEFT(K78,1)),"")</f>
        <v/>
      </c>
      <c r="AH78" s="2">
        <f>IFERROR(VALUE(LEFT(L78,1)),"")</f>
        <v/>
      </c>
      <c r="AI78" s="2">
        <f>IFERROR(VALUE(LEFT(M78,1)),"")</f>
        <v/>
      </c>
      <c r="AJ78" s="2">
        <f>IFERROR(VALUE(LEFT(N78,1)),"")</f>
        <v/>
      </c>
      <c r="AK78" s="2">
        <f>IFERROR(VALUE(LEFT(O78,1)),"")</f>
        <v/>
      </c>
      <c r="AL78" s="2">
        <f>IFERROR(VALUE(LEFT(P78,1)),"")</f>
        <v/>
      </c>
      <c r="AM78" s="2">
        <f>IFERROR(VALUE(LEFT(Q78,1)),"")</f>
        <v/>
      </c>
      <c r="AN78" s="2">
        <f>IFERROR(VALUE(LEFT(R78,1)),"")</f>
        <v/>
      </c>
      <c r="AO78" s="2">
        <f>IFERROR(VALUE(LEFT(S78,1)),"")</f>
        <v/>
      </c>
      <c r="AP78" s="2">
        <f>IFERROR(VALUE(LEFT(T78,1)),"")</f>
        <v/>
      </c>
      <c r="AQ78" s="2">
        <f>IFERROR(VALUE(LEFT(U78,1)),"")</f>
        <v/>
      </c>
    </row>
    <row r="79">
      <c r="A79" s="2" t="n">
        <v>78</v>
      </c>
      <c r="B79" s="2" t="inlineStr">
        <is>
          <t>Trường Đại học thuộc ĐHQG</t>
        </is>
      </c>
      <c r="C79" s="2" t="inlineStr">
        <is>
          <t>Sinh viên năm 3-4</t>
        </is>
      </c>
      <c r="D79" s="2" t="inlineStr"/>
      <c r="E79" s="2" t="inlineStr"/>
      <c r="F79" s="2" t="inlineStr">
        <is>
          <t>4 - Khá quan tâm</t>
        </is>
      </c>
      <c r="G79" s="2" t="inlineStr">
        <is>
          <t>5 - Rất quan tâm</t>
        </is>
      </c>
      <c r="H79" s="2" t="inlineStr">
        <is>
          <t>4 - Khá quan tâm</t>
        </is>
      </c>
      <c r="I79" s="2" t="inlineStr">
        <is>
          <t>3 - Bình thường</t>
        </is>
      </c>
      <c r="J79" s="2" t="inlineStr">
        <is>
          <t>3 - Bình thường</t>
        </is>
      </c>
      <c r="K79" s="2" t="inlineStr">
        <is>
          <t>5 - Rất quan tâm</t>
        </is>
      </c>
      <c r="L79" s="2" t="inlineStr">
        <is>
          <t>5 - Rất quan tâm</t>
        </is>
      </c>
      <c r="M79" s="2" t="inlineStr">
        <is>
          <t>4 - Khá quan tâm</t>
        </is>
      </c>
      <c r="N79" s="2" t="inlineStr"/>
      <c r="O79" s="2" t="inlineStr"/>
      <c r="P79" s="2" t="inlineStr"/>
      <c r="Q79" s="2" t="inlineStr"/>
      <c r="R79" s="2" t="inlineStr"/>
      <c r="S79" s="2" t="inlineStr"/>
      <c r="T79" s="2" t="inlineStr"/>
      <c r="U79" s="2" t="inlineStr"/>
      <c r="V79" s="2" t="inlineStr"/>
      <c r="W79" s="2" t="inlineStr">
        <is>
          <t>Có</t>
        </is>
      </c>
      <c r="X79" s="2" t="inlineStr">
        <is>
          <t>Chưa xác định</t>
        </is>
      </c>
      <c r="Y79" s="2" t="inlineStr"/>
      <c r="Z79" s="2" t="inlineStr">
        <is>
          <t>Có thể</t>
        </is>
      </c>
      <c r="AA79" s="2" t="inlineStr">
        <is>
          <t>không</t>
        </is>
      </c>
      <c r="AB79" s="2">
        <f>IFERROR(VALUE(LEFT(F79,1)),"")</f>
        <v/>
      </c>
      <c r="AC79" s="2">
        <f>IFERROR(VALUE(LEFT(G79,1)),"")</f>
        <v/>
      </c>
      <c r="AD79" s="2">
        <f>IFERROR(VALUE(LEFT(H79,1)),"")</f>
        <v/>
      </c>
      <c r="AE79" s="2">
        <f>IFERROR(VALUE(LEFT(I79,1)),"")</f>
        <v/>
      </c>
      <c r="AF79" s="2">
        <f>IFERROR(VALUE(LEFT(J79,1)),"")</f>
        <v/>
      </c>
      <c r="AG79" s="2">
        <f>IFERROR(VALUE(LEFT(K79,1)),"")</f>
        <v/>
      </c>
      <c r="AH79" s="2">
        <f>IFERROR(VALUE(LEFT(L79,1)),"")</f>
        <v/>
      </c>
      <c r="AI79" s="2">
        <f>IFERROR(VALUE(LEFT(M79,1)),"")</f>
        <v/>
      </c>
      <c r="AJ79" s="2">
        <f>IFERROR(VALUE(LEFT(N79,1)),"")</f>
        <v/>
      </c>
      <c r="AK79" s="2">
        <f>IFERROR(VALUE(LEFT(O79,1)),"")</f>
        <v/>
      </c>
      <c r="AL79" s="2">
        <f>IFERROR(VALUE(LEFT(P79,1)),"")</f>
        <v/>
      </c>
      <c r="AM79" s="2">
        <f>IFERROR(VALUE(LEFT(Q79,1)),"")</f>
        <v/>
      </c>
      <c r="AN79" s="2">
        <f>IFERROR(VALUE(LEFT(R79,1)),"")</f>
        <v/>
      </c>
      <c r="AO79" s="2">
        <f>IFERROR(VALUE(LEFT(S79,1)),"")</f>
        <v/>
      </c>
      <c r="AP79" s="2">
        <f>IFERROR(VALUE(LEFT(T79,1)),"")</f>
        <v/>
      </c>
      <c r="AQ79" s="2">
        <f>IFERROR(VALUE(LEFT(U79,1)),"")</f>
        <v/>
      </c>
    </row>
    <row r="80">
      <c r="A80" s="2" t="n">
        <v>79</v>
      </c>
      <c r="B80" s="2" t="inlineStr">
        <is>
          <t>Trường Đại học thuộc ĐHQG</t>
        </is>
      </c>
      <c r="C80" s="2" t="inlineStr">
        <is>
          <t>Sinh viên năm 3-4</t>
        </is>
      </c>
      <c r="D80" s="2" t="inlineStr"/>
      <c r="E80" s="2" t="inlineStr"/>
      <c r="F80" s="2" t="inlineStr">
        <is>
          <t>4 - Khá quan tâm</t>
        </is>
      </c>
      <c r="G80" s="2" t="inlineStr">
        <is>
          <t>5 - Rất quan tâm</t>
        </is>
      </c>
      <c r="H80" s="2" t="inlineStr">
        <is>
          <t>4 - Khá quan tâm</t>
        </is>
      </c>
      <c r="I80" s="2" t="inlineStr">
        <is>
          <t>2 - Ít quan tâm</t>
        </is>
      </c>
      <c r="J80" s="2" t="inlineStr">
        <is>
          <t>5 - Rất quan tâm</t>
        </is>
      </c>
      <c r="K80" s="2" t="inlineStr">
        <is>
          <t>5 - Rất quan tâm</t>
        </is>
      </c>
      <c r="L80" s="2" t="inlineStr">
        <is>
          <t>5 - Rất quan tâm</t>
        </is>
      </c>
      <c r="M80" s="2" t="inlineStr">
        <is>
          <t>5 - Rất quan tâm</t>
        </is>
      </c>
      <c r="N80" s="2" t="inlineStr"/>
      <c r="O80" s="2" t="inlineStr"/>
      <c r="P80" s="2" t="inlineStr"/>
      <c r="Q80" s="2" t="inlineStr"/>
      <c r="R80" s="2" t="inlineStr"/>
      <c r="S80" s="2" t="inlineStr"/>
      <c r="T80" s="2" t="inlineStr"/>
      <c r="U80" s="2" t="inlineStr"/>
      <c r="V80" s="2" t="inlineStr"/>
      <c r="W80" s="2" t="inlineStr">
        <is>
          <t>Có nhưng chỉ ngắn hạn (1–2 tháng)</t>
        </is>
      </c>
      <c r="X80" s="2" t="inlineStr">
        <is>
          <t>Học tiếp chương trình sau đại học</t>
        </is>
      </c>
      <c r="Y80" s="2" t="inlineStr"/>
      <c r="Z80" s="2" t="inlineStr">
        <is>
          <t>Có</t>
        </is>
      </c>
      <c r="AA80" s="2" t="inlineStr">
        <is>
          <t>Chưa nghĩ đến</t>
        </is>
      </c>
      <c r="AB80" s="2">
        <f>IFERROR(VALUE(LEFT(F80,1)),"")</f>
        <v/>
      </c>
      <c r="AC80" s="2">
        <f>IFERROR(VALUE(LEFT(G80,1)),"")</f>
        <v/>
      </c>
      <c r="AD80" s="2">
        <f>IFERROR(VALUE(LEFT(H80,1)),"")</f>
        <v/>
      </c>
      <c r="AE80" s="2">
        <f>IFERROR(VALUE(LEFT(I80,1)),"")</f>
        <v/>
      </c>
      <c r="AF80" s="2">
        <f>IFERROR(VALUE(LEFT(J80,1)),"")</f>
        <v/>
      </c>
      <c r="AG80" s="2">
        <f>IFERROR(VALUE(LEFT(K80,1)),"")</f>
        <v/>
      </c>
      <c r="AH80" s="2">
        <f>IFERROR(VALUE(LEFT(L80,1)),"")</f>
        <v/>
      </c>
      <c r="AI80" s="2">
        <f>IFERROR(VALUE(LEFT(M80,1)),"")</f>
        <v/>
      </c>
      <c r="AJ80" s="2">
        <f>IFERROR(VALUE(LEFT(N80,1)),"")</f>
        <v/>
      </c>
      <c r="AK80" s="2">
        <f>IFERROR(VALUE(LEFT(O80,1)),"")</f>
        <v/>
      </c>
      <c r="AL80" s="2">
        <f>IFERROR(VALUE(LEFT(P80,1)),"")</f>
        <v/>
      </c>
      <c r="AM80" s="2">
        <f>IFERROR(VALUE(LEFT(Q80,1)),"")</f>
        <v/>
      </c>
      <c r="AN80" s="2">
        <f>IFERROR(VALUE(LEFT(R80,1)),"")</f>
        <v/>
      </c>
      <c r="AO80" s="2">
        <f>IFERROR(VALUE(LEFT(S80,1)),"")</f>
        <v/>
      </c>
      <c r="AP80" s="2">
        <f>IFERROR(VALUE(LEFT(T80,1)),"")</f>
        <v/>
      </c>
      <c r="AQ80" s="2">
        <f>IFERROR(VALUE(LEFT(U80,1)),"")</f>
        <v/>
      </c>
    </row>
    <row r="81">
      <c r="A81" s="2" t="n">
        <v>80</v>
      </c>
      <c r="B81" s="2" t="inlineStr">
        <is>
          <t>Trường Đại học thuộc ĐHQG</t>
        </is>
      </c>
      <c r="C81" s="2" t="inlineStr">
        <is>
          <t>Sinh viên năm 3-4</t>
        </is>
      </c>
      <c r="D81" s="2" t="inlineStr"/>
      <c r="E81" s="2" t="inlineStr"/>
      <c r="F81" s="2" t="inlineStr">
        <is>
          <t>2 - Ít quan tâm</t>
        </is>
      </c>
      <c r="G81" s="2" t="inlineStr">
        <is>
          <t>4 - Khá quan tâm</t>
        </is>
      </c>
      <c r="H81" s="2" t="inlineStr">
        <is>
          <t>4 - Khá quan tâm</t>
        </is>
      </c>
      <c r="I81" s="2" t="inlineStr">
        <is>
          <t>4 - Khá quan tâm</t>
        </is>
      </c>
      <c r="J81" s="2" t="inlineStr">
        <is>
          <t>4 - Khá quan tâm</t>
        </is>
      </c>
      <c r="K81" s="2" t="inlineStr">
        <is>
          <t>5 - Rất quan tâm</t>
        </is>
      </c>
      <c r="L81" s="2" t="inlineStr">
        <is>
          <t>5 - Rất quan tâm</t>
        </is>
      </c>
      <c r="M81" s="2" t="inlineStr">
        <is>
          <t>1 - Hoàn toàn không quan tâm</t>
        </is>
      </c>
      <c r="N81" s="2" t="inlineStr"/>
      <c r="O81" s="2" t="inlineStr"/>
      <c r="P81" s="2" t="inlineStr"/>
      <c r="Q81" s="2" t="inlineStr"/>
      <c r="R81" s="2" t="inlineStr"/>
      <c r="S81" s="2" t="inlineStr"/>
      <c r="T81" s="2" t="inlineStr"/>
      <c r="U81" s="2" t="inlineStr"/>
      <c r="V81" s="2" t="inlineStr"/>
      <c r="W81" s="2" t="inlineStr">
        <is>
          <t>Có nhưng chỉ ngắn hạn (1–2 tháng)</t>
        </is>
      </c>
      <c r="X81" s="2" t="inlineStr">
        <is>
          <t>Đi làm</t>
        </is>
      </c>
      <c r="Y81" s="2" t="inlineStr"/>
      <c r="Z81" s="2" t="inlineStr">
        <is>
          <t>Có thể</t>
        </is>
      </c>
      <c r="AA81" s="2" t="inlineStr">
        <is>
          <t>Dạ khôngaj | Dạ không có ạ</t>
        </is>
      </c>
      <c r="AB81" s="2">
        <f>IFERROR(VALUE(LEFT(F81,1)),"")</f>
        <v/>
      </c>
      <c r="AC81" s="2">
        <f>IFERROR(VALUE(LEFT(G81,1)),"")</f>
        <v/>
      </c>
      <c r="AD81" s="2">
        <f>IFERROR(VALUE(LEFT(H81,1)),"")</f>
        <v/>
      </c>
      <c r="AE81" s="2">
        <f>IFERROR(VALUE(LEFT(I81,1)),"")</f>
        <v/>
      </c>
      <c r="AF81" s="2">
        <f>IFERROR(VALUE(LEFT(J81,1)),"")</f>
        <v/>
      </c>
      <c r="AG81" s="2">
        <f>IFERROR(VALUE(LEFT(K81,1)),"")</f>
        <v/>
      </c>
      <c r="AH81" s="2">
        <f>IFERROR(VALUE(LEFT(L81,1)),"")</f>
        <v/>
      </c>
      <c r="AI81" s="2">
        <f>IFERROR(VALUE(LEFT(M81,1)),"")</f>
        <v/>
      </c>
      <c r="AJ81" s="2">
        <f>IFERROR(VALUE(LEFT(N81,1)),"")</f>
        <v/>
      </c>
      <c r="AK81" s="2">
        <f>IFERROR(VALUE(LEFT(O81,1)),"")</f>
        <v/>
      </c>
      <c r="AL81" s="2">
        <f>IFERROR(VALUE(LEFT(P81,1)),"")</f>
        <v/>
      </c>
      <c r="AM81" s="2">
        <f>IFERROR(VALUE(LEFT(Q81,1)),"")</f>
        <v/>
      </c>
      <c r="AN81" s="2">
        <f>IFERROR(VALUE(LEFT(R81,1)),"")</f>
        <v/>
      </c>
      <c r="AO81" s="2">
        <f>IFERROR(VALUE(LEFT(S81,1)),"")</f>
        <v/>
      </c>
      <c r="AP81" s="2">
        <f>IFERROR(VALUE(LEFT(T81,1)),"")</f>
        <v/>
      </c>
      <c r="AQ81" s="2">
        <f>IFERROR(VALUE(LEFT(U81,1)),"")</f>
        <v/>
      </c>
    </row>
    <row r="82">
      <c r="A82" s="2" t="n">
        <v>81</v>
      </c>
      <c r="B82" s="2" t="inlineStr">
        <is>
          <t>Trường Đại học thuộc ĐHQG</t>
        </is>
      </c>
      <c r="C82" s="2" t="inlineStr">
        <is>
          <t>Sinh viên năm 3-4</t>
        </is>
      </c>
      <c r="D82" s="2" t="inlineStr"/>
      <c r="E82" s="2" t="inlineStr"/>
      <c r="F82" s="2" t="inlineStr">
        <is>
          <t>4 - Khá quan tâm</t>
        </is>
      </c>
      <c r="G82" s="2" t="inlineStr">
        <is>
          <t>4 - Khá quan tâm</t>
        </is>
      </c>
      <c r="H82" s="2" t="inlineStr">
        <is>
          <t>4 - Khá quan tâm</t>
        </is>
      </c>
      <c r="I82" s="2" t="inlineStr">
        <is>
          <t>4 - Khá quan tâm</t>
        </is>
      </c>
      <c r="J82" s="2" t="inlineStr">
        <is>
          <t>4 - Khá quan tâm</t>
        </is>
      </c>
      <c r="K82" s="2" t="inlineStr">
        <is>
          <t>4 - Khá quan tâm</t>
        </is>
      </c>
      <c r="L82" s="2" t="inlineStr">
        <is>
          <t>4 - Khá quan tâm</t>
        </is>
      </c>
      <c r="M82" s="2" t="inlineStr">
        <is>
          <t>4 - Khá quan tâm</t>
        </is>
      </c>
      <c r="N82" s="2" t="inlineStr"/>
      <c r="O82" s="2" t="inlineStr"/>
      <c r="P82" s="2" t="inlineStr"/>
      <c r="Q82" s="2" t="inlineStr"/>
      <c r="R82" s="2" t="inlineStr"/>
      <c r="S82" s="2" t="inlineStr"/>
      <c r="T82" s="2" t="inlineStr"/>
      <c r="U82" s="2" t="inlineStr"/>
      <c r="V82" s="2" t="inlineStr"/>
      <c r="W82" s="2" t="inlineStr">
        <is>
          <t>Có</t>
        </is>
      </c>
      <c r="X82" s="2" t="inlineStr">
        <is>
          <t>Học tiếp chương trình sau đại học</t>
        </is>
      </c>
      <c r="Y82" s="2" t="inlineStr"/>
      <c r="Z82" s="2" t="inlineStr">
        <is>
          <t>Có thể</t>
        </is>
      </c>
      <c r="AA82" s="2" t="inlineStr">
        <is>
          <t>mình ko biết</t>
        </is>
      </c>
      <c r="AB82" s="2">
        <f>IFERROR(VALUE(LEFT(F82,1)),"")</f>
        <v/>
      </c>
      <c r="AC82" s="2">
        <f>IFERROR(VALUE(LEFT(G82,1)),"")</f>
        <v/>
      </c>
      <c r="AD82" s="2">
        <f>IFERROR(VALUE(LEFT(H82,1)),"")</f>
        <v/>
      </c>
      <c r="AE82" s="2">
        <f>IFERROR(VALUE(LEFT(I82,1)),"")</f>
        <v/>
      </c>
      <c r="AF82" s="2">
        <f>IFERROR(VALUE(LEFT(J82,1)),"")</f>
        <v/>
      </c>
      <c r="AG82" s="2">
        <f>IFERROR(VALUE(LEFT(K82,1)),"")</f>
        <v/>
      </c>
      <c r="AH82" s="2">
        <f>IFERROR(VALUE(LEFT(L82,1)),"")</f>
        <v/>
      </c>
      <c r="AI82" s="2">
        <f>IFERROR(VALUE(LEFT(M82,1)),"")</f>
        <v/>
      </c>
      <c r="AJ82" s="2">
        <f>IFERROR(VALUE(LEFT(N82,1)),"")</f>
        <v/>
      </c>
      <c r="AK82" s="2">
        <f>IFERROR(VALUE(LEFT(O82,1)),"")</f>
        <v/>
      </c>
      <c r="AL82" s="2">
        <f>IFERROR(VALUE(LEFT(P82,1)),"")</f>
        <v/>
      </c>
      <c r="AM82" s="2">
        <f>IFERROR(VALUE(LEFT(Q82,1)),"")</f>
        <v/>
      </c>
      <c r="AN82" s="2">
        <f>IFERROR(VALUE(LEFT(R82,1)),"")</f>
        <v/>
      </c>
      <c r="AO82" s="2">
        <f>IFERROR(VALUE(LEFT(S82,1)),"")</f>
        <v/>
      </c>
      <c r="AP82" s="2">
        <f>IFERROR(VALUE(LEFT(T82,1)),"")</f>
        <v/>
      </c>
      <c r="AQ82" s="2">
        <f>IFERROR(VALUE(LEFT(U82,1)),"")</f>
        <v/>
      </c>
    </row>
    <row r="83">
      <c r="A83" s="2" t="n">
        <v>82</v>
      </c>
      <c r="B83" s="2" t="inlineStr">
        <is>
          <t>Trường Đại học thuộc ĐHQG</t>
        </is>
      </c>
      <c r="C83" s="2" t="inlineStr">
        <is>
          <t>Sinh viên năm 3-4</t>
        </is>
      </c>
      <c r="D83" s="2" t="inlineStr"/>
      <c r="E83" s="2" t="inlineStr"/>
      <c r="F83" s="2" t="inlineStr">
        <is>
          <t>4 - Khá quan tâm</t>
        </is>
      </c>
      <c r="G83" s="2" t="inlineStr">
        <is>
          <t>3 - Bình thường</t>
        </is>
      </c>
      <c r="H83" s="2" t="inlineStr">
        <is>
          <t>4 - Khá quan tâm</t>
        </is>
      </c>
      <c r="I83" s="2" t="inlineStr">
        <is>
          <t>5 - Rất quan tâm</t>
        </is>
      </c>
      <c r="J83" s="2" t="inlineStr">
        <is>
          <t>3 - Bình thường</t>
        </is>
      </c>
      <c r="K83" s="2" t="inlineStr">
        <is>
          <t>4 - Khá quan tâm</t>
        </is>
      </c>
      <c r="L83" s="2" t="inlineStr">
        <is>
          <t>3 - Bình thường</t>
        </is>
      </c>
      <c r="M83" s="2" t="inlineStr">
        <is>
          <t>4 - Khá quan tâm</t>
        </is>
      </c>
      <c r="N83" s="2" t="inlineStr"/>
      <c r="O83" s="2" t="inlineStr"/>
      <c r="P83" s="2" t="inlineStr"/>
      <c r="Q83" s="2" t="inlineStr"/>
      <c r="R83" s="2" t="inlineStr"/>
      <c r="S83" s="2" t="inlineStr"/>
      <c r="T83" s="2" t="inlineStr"/>
      <c r="U83" s="2" t="inlineStr"/>
      <c r="V83" s="2" t="inlineStr"/>
      <c r="W83" s="2" t="inlineStr">
        <is>
          <t>Có nhưng chỉ ngắn hạn (1–2 tháng)</t>
        </is>
      </c>
      <c r="X83" s="2" t="inlineStr">
        <is>
          <t>Đi làm</t>
        </is>
      </c>
      <c r="Y83" s="2" t="inlineStr"/>
      <c r="Z83" s="2" t="inlineStr">
        <is>
          <t>Có thể</t>
        </is>
      </c>
      <c r="AA83" s="2" t="inlineStr">
        <is>
          <t>không có</t>
        </is>
      </c>
      <c r="AB83" s="2">
        <f>IFERROR(VALUE(LEFT(F83,1)),"")</f>
        <v/>
      </c>
      <c r="AC83" s="2">
        <f>IFERROR(VALUE(LEFT(G83,1)),"")</f>
        <v/>
      </c>
      <c r="AD83" s="2">
        <f>IFERROR(VALUE(LEFT(H83,1)),"")</f>
        <v/>
      </c>
      <c r="AE83" s="2">
        <f>IFERROR(VALUE(LEFT(I83,1)),"")</f>
        <v/>
      </c>
      <c r="AF83" s="2">
        <f>IFERROR(VALUE(LEFT(J83,1)),"")</f>
        <v/>
      </c>
      <c r="AG83" s="2">
        <f>IFERROR(VALUE(LEFT(K83,1)),"")</f>
        <v/>
      </c>
      <c r="AH83" s="2">
        <f>IFERROR(VALUE(LEFT(L83,1)),"")</f>
        <v/>
      </c>
      <c r="AI83" s="2">
        <f>IFERROR(VALUE(LEFT(M83,1)),"")</f>
        <v/>
      </c>
      <c r="AJ83" s="2">
        <f>IFERROR(VALUE(LEFT(N83,1)),"")</f>
        <v/>
      </c>
      <c r="AK83" s="2">
        <f>IFERROR(VALUE(LEFT(O83,1)),"")</f>
        <v/>
      </c>
      <c r="AL83" s="2">
        <f>IFERROR(VALUE(LEFT(P83,1)),"")</f>
        <v/>
      </c>
      <c r="AM83" s="2">
        <f>IFERROR(VALUE(LEFT(Q83,1)),"")</f>
        <v/>
      </c>
      <c r="AN83" s="2">
        <f>IFERROR(VALUE(LEFT(R83,1)),"")</f>
        <v/>
      </c>
      <c r="AO83" s="2">
        <f>IFERROR(VALUE(LEFT(S83,1)),"")</f>
        <v/>
      </c>
      <c r="AP83" s="2">
        <f>IFERROR(VALUE(LEFT(T83,1)),"")</f>
        <v/>
      </c>
      <c r="AQ83" s="2">
        <f>IFERROR(VALUE(LEFT(U83,1)),"")</f>
        <v/>
      </c>
    </row>
    <row r="84">
      <c r="A84" s="2" t="n">
        <v>83</v>
      </c>
      <c r="B84" s="2" t="inlineStr">
        <is>
          <t>Trường Đại học thuộc ĐHQG</t>
        </is>
      </c>
      <c r="C84" s="2" t="inlineStr">
        <is>
          <t>Sinh viên năm 3-4</t>
        </is>
      </c>
      <c r="D84" s="2" t="inlineStr"/>
      <c r="E84" s="2" t="inlineStr"/>
      <c r="F84" s="2" t="inlineStr">
        <is>
          <t>4 - Khá quan tâm</t>
        </is>
      </c>
      <c r="G84" s="2" t="inlineStr">
        <is>
          <t>4 - Khá quan tâm</t>
        </is>
      </c>
      <c r="H84" s="2" t="inlineStr">
        <is>
          <t>5 - Rất quan tâm</t>
        </is>
      </c>
      <c r="I84" s="2" t="inlineStr">
        <is>
          <t>5 - Rất quan tâm</t>
        </is>
      </c>
      <c r="J84" s="2" t="inlineStr">
        <is>
          <t>4 - Khá quan tâm</t>
        </is>
      </c>
      <c r="K84" s="2" t="inlineStr">
        <is>
          <t>5 - Rất quan tâm</t>
        </is>
      </c>
      <c r="L84" s="2" t="inlineStr">
        <is>
          <t>4 - Khá quan tâm</t>
        </is>
      </c>
      <c r="M84" s="2" t="inlineStr">
        <is>
          <t>4 - Khá quan tâm</t>
        </is>
      </c>
      <c r="N84" s="2" t="inlineStr"/>
      <c r="O84" s="2" t="inlineStr"/>
      <c r="P84" s="2" t="inlineStr"/>
      <c r="Q84" s="2" t="inlineStr"/>
      <c r="R84" s="2" t="inlineStr"/>
      <c r="S84" s="2" t="inlineStr"/>
      <c r="T84" s="2" t="inlineStr"/>
      <c r="U84" s="2" t="inlineStr"/>
      <c r="V84" s="2" t="inlineStr"/>
      <c r="W84" s="2" t="inlineStr">
        <is>
          <t>Có nhưng chỉ ngắn hạn (1–2 tháng)</t>
        </is>
      </c>
      <c r="X84" s="2" t="inlineStr">
        <is>
          <t>Đi làm</t>
        </is>
      </c>
      <c r="Y84" s="2" t="inlineStr"/>
      <c r="Z84" s="2" t="inlineStr">
        <is>
          <t>Có thể</t>
        </is>
      </c>
      <c r="AA84" s="2" t="inlineStr">
        <is>
          <t>Mình không | Không</t>
        </is>
      </c>
      <c r="AB84" s="2">
        <f>IFERROR(VALUE(LEFT(F84,1)),"")</f>
        <v/>
      </c>
      <c r="AC84" s="2">
        <f>IFERROR(VALUE(LEFT(G84,1)),"")</f>
        <v/>
      </c>
      <c r="AD84" s="2">
        <f>IFERROR(VALUE(LEFT(H84,1)),"")</f>
        <v/>
      </c>
      <c r="AE84" s="2">
        <f>IFERROR(VALUE(LEFT(I84,1)),"")</f>
        <v/>
      </c>
      <c r="AF84" s="2">
        <f>IFERROR(VALUE(LEFT(J84,1)),"")</f>
        <v/>
      </c>
      <c r="AG84" s="2">
        <f>IFERROR(VALUE(LEFT(K84,1)),"")</f>
        <v/>
      </c>
      <c r="AH84" s="2">
        <f>IFERROR(VALUE(LEFT(L84,1)),"")</f>
        <v/>
      </c>
      <c r="AI84" s="2">
        <f>IFERROR(VALUE(LEFT(M84,1)),"")</f>
        <v/>
      </c>
      <c r="AJ84" s="2">
        <f>IFERROR(VALUE(LEFT(N84,1)),"")</f>
        <v/>
      </c>
      <c r="AK84" s="2">
        <f>IFERROR(VALUE(LEFT(O84,1)),"")</f>
        <v/>
      </c>
      <c r="AL84" s="2">
        <f>IFERROR(VALUE(LEFT(P84,1)),"")</f>
        <v/>
      </c>
      <c r="AM84" s="2">
        <f>IFERROR(VALUE(LEFT(Q84,1)),"")</f>
        <v/>
      </c>
      <c r="AN84" s="2">
        <f>IFERROR(VALUE(LEFT(R84,1)),"")</f>
        <v/>
      </c>
      <c r="AO84" s="2">
        <f>IFERROR(VALUE(LEFT(S84,1)),"")</f>
        <v/>
      </c>
      <c r="AP84" s="2">
        <f>IFERROR(VALUE(LEFT(T84,1)),"")</f>
        <v/>
      </c>
      <c r="AQ84" s="2">
        <f>IFERROR(VALUE(LEFT(U84,1)),"")</f>
        <v/>
      </c>
    </row>
    <row r="85">
      <c r="A85" s="2" t="n">
        <v>84</v>
      </c>
      <c r="B85" s="2" t="inlineStr">
        <is>
          <t>Trường Đại học ngoài ĐHQG tại Việt Nam</t>
        </is>
      </c>
      <c r="C85" s="2" t="inlineStr">
        <is>
          <t>Cựu sinh viên</t>
        </is>
      </c>
      <c r="D85" s="2" t="inlineStr">
        <is>
          <t>Không</t>
        </is>
      </c>
      <c r="E85" s="2" t="inlineStr">
        <is>
          <t>Không</t>
        </is>
      </c>
      <c r="F85" s="2" t="inlineStr"/>
      <c r="G85" s="2" t="inlineStr"/>
      <c r="H85" s="2" t="inlineStr"/>
      <c r="I85" s="2" t="inlineStr"/>
      <c r="J85" s="2" t="inlineStr"/>
      <c r="K85" s="2" t="inlineStr"/>
      <c r="L85" s="2" t="inlineStr"/>
      <c r="M85" s="2" t="inlineStr"/>
      <c r="N85" s="2" t="inlineStr">
        <is>
          <t>1.0</t>
        </is>
      </c>
      <c r="O85" s="2" t="inlineStr">
        <is>
          <t>1.0</t>
        </is>
      </c>
      <c r="P85" s="2" t="inlineStr">
        <is>
          <t>1.0</t>
        </is>
      </c>
      <c r="Q85" s="2" t="inlineStr">
        <is>
          <t>1.0</t>
        </is>
      </c>
      <c r="R85" s="2" t="inlineStr">
        <is>
          <t>1.0</t>
        </is>
      </c>
      <c r="S85" s="2" t="inlineStr">
        <is>
          <t>1.0</t>
        </is>
      </c>
      <c r="T85" s="2" t="inlineStr">
        <is>
          <t>1.0</t>
        </is>
      </c>
      <c r="U85" s="2" t="inlineStr">
        <is>
          <t>1.0</t>
        </is>
      </c>
      <c r="V85" s="2" t="inlineStr">
        <is>
          <t>Không</t>
        </is>
      </c>
      <c r="W85" s="2" t="inlineStr"/>
      <c r="X85" s="2" t="inlineStr"/>
      <c r="Y85" s="2" t="inlineStr">
        <is>
          <t>Workshop nhóm nhỏ</t>
        </is>
      </c>
      <c r="Z85" s="2" t="inlineStr"/>
      <c r="AA85" s="2" t="inlineStr">
        <is>
          <t>Không</t>
        </is>
      </c>
      <c r="AB85" s="2">
        <f>IFERROR(VALUE(LEFT(F85,1)),"")</f>
        <v/>
      </c>
      <c r="AC85" s="2">
        <f>IFERROR(VALUE(LEFT(G85,1)),"")</f>
        <v/>
      </c>
      <c r="AD85" s="2">
        <f>IFERROR(VALUE(LEFT(H85,1)),"")</f>
        <v/>
      </c>
      <c r="AE85" s="2">
        <f>IFERROR(VALUE(LEFT(I85,1)),"")</f>
        <v/>
      </c>
      <c r="AF85" s="2">
        <f>IFERROR(VALUE(LEFT(J85,1)),"")</f>
        <v/>
      </c>
      <c r="AG85" s="2">
        <f>IFERROR(VALUE(LEFT(K85,1)),"")</f>
        <v/>
      </c>
      <c r="AH85" s="2">
        <f>IFERROR(VALUE(LEFT(L85,1)),"")</f>
        <v/>
      </c>
      <c r="AI85" s="2">
        <f>IFERROR(VALUE(LEFT(M85,1)),"")</f>
        <v/>
      </c>
      <c r="AJ85" s="2">
        <f>IFERROR(VALUE(LEFT(N85,1)),"")</f>
        <v/>
      </c>
      <c r="AK85" s="2">
        <f>IFERROR(VALUE(LEFT(O85,1)),"")</f>
        <v/>
      </c>
      <c r="AL85" s="2">
        <f>IFERROR(VALUE(LEFT(P85,1)),"")</f>
        <v/>
      </c>
      <c r="AM85" s="2">
        <f>IFERROR(VALUE(LEFT(Q85,1)),"")</f>
        <v/>
      </c>
      <c r="AN85" s="2">
        <f>IFERROR(VALUE(LEFT(R85,1)),"")</f>
        <v/>
      </c>
      <c r="AO85" s="2">
        <f>IFERROR(VALUE(LEFT(S85,1)),"")</f>
        <v/>
      </c>
      <c r="AP85" s="2">
        <f>IFERROR(VALUE(LEFT(T85,1)),"")</f>
        <v/>
      </c>
      <c r="AQ85" s="2">
        <f>IFERROR(VALUE(LEFT(U85,1)),"")</f>
        <v/>
      </c>
    </row>
    <row r="86">
      <c r="A86" s="2" t="n">
        <v>85</v>
      </c>
      <c r="B86" s="2" t="inlineStr">
        <is>
          <t>Trường Đại học thuộc ĐHQG</t>
        </is>
      </c>
      <c r="C86" s="2" t="inlineStr">
        <is>
          <t>Sinh viên năm 3-4</t>
        </is>
      </c>
      <c r="D86" s="2" t="inlineStr"/>
      <c r="E86" s="2" t="inlineStr"/>
      <c r="F86" s="2" t="inlineStr">
        <is>
          <t>5 - Rất quan tâm</t>
        </is>
      </c>
      <c r="G86" s="2" t="inlineStr">
        <is>
          <t>5 - Rất quan tâm</t>
        </is>
      </c>
      <c r="H86" s="2" t="inlineStr">
        <is>
          <t>5 - Rất quan tâm</t>
        </is>
      </c>
      <c r="I86" s="2" t="inlineStr">
        <is>
          <t>4 - Khá quan tâm</t>
        </is>
      </c>
      <c r="J86" s="2" t="inlineStr">
        <is>
          <t>4 - Khá quan tâm</t>
        </is>
      </c>
      <c r="K86" s="2" t="inlineStr">
        <is>
          <t>5 - Rất quan tâm</t>
        </is>
      </c>
      <c r="L86" s="2" t="inlineStr">
        <is>
          <t>5 - Rất quan tâm</t>
        </is>
      </c>
      <c r="M86" s="2" t="inlineStr">
        <is>
          <t>4 - Khá quan tâm</t>
        </is>
      </c>
      <c r="N86" s="2" t="inlineStr"/>
      <c r="O86" s="2" t="inlineStr"/>
      <c r="P86" s="2" t="inlineStr"/>
      <c r="Q86" s="2" t="inlineStr"/>
      <c r="R86" s="2" t="inlineStr"/>
      <c r="S86" s="2" t="inlineStr"/>
      <c r="T86" s="2" t="inlineStr"/>
      <c r="U86" s="2" t="inlineStr"/>
      <c r="V86" s="2" t="inlineStr"/>
      <c r="W86" s="2" t="inlineStr">
        <is>
          <t>Có nhưng chỉ ngắn hạn (1–2 tháng)</t>
        </is>
      </c>
      <c r="X86" s="2" t="inlineStr">
        <is>
          <t>Học tiếp chương trình sau đại học</t>
        </is>
      </c>
      <c r="Y86" s="2" t="inlineStr"/>
      <c r="Z86" s="2" t="inlineStr">
        <is>
          <t>Có</t>
        </is>
      </c>
      <c r="AA86" s="2" t="inlineStr">
        <is>
          <t>Chưa ạ</t>
        </is>
      </c>
      <c r="AB86" s="2">
        <f>IFERROR(VALUE(LEFT(F86,1)),"")</f>
        <v/>
      </c>
      <c r="AC86" s="2">
        <f>IFERROR(VALUE(LEFT(G86,1)),"")</f>
        <v/>
      </c>
      <c r="AD86" s="2">
        <f>IFERROR(VALUE(LEFT(H86,1)),"")</f>
        <v/>
      </c>
      <c r="AE86" s="2">
        <f>IFERROR(VALUE(LEFT(I86,1)),"")</f>
        <v/>
      </c>
      <c r="AF86" s="2">
        <f>IFERROR(VALUE(LEFT(J86,1)),"")</f>
        <v/>
      </c>
      <c r="AG86" s="2">
        <f>IFERROR(VALUE(LEFT(K86,1)),"")</f>
        <v/>
      </c>
      <c r="AH86" s="2">
        <f>IFERROR(VALUE(LEFT(L86,1)),"")</f>
        <v/>
      </c>
      <c r="AI86" s="2">
        <f>IFERROR(VALUE(LEFT(M86,1)),"")</f>
        <v/>
      </c>
      <c r="AJ86" s="2">
        <f>IFERROR(VALUE(LEFT(N86,1)),"")</f>
        <v/>
      </c>
      <c r="AK86" s="2">
        <f>IFERROR(VALUE(LEFT(O86,1)),"")</f>
        <v/>
      </c>
      <c r="AL86" s="2">
        <f>IFERROR(VALUE(LEFT(P86,1)),"")</f>
        <v/>
      </c>
      <c r="AM86" s="2">
        <f>IFERROR(VALUE(LEFT(Q86,1)),"")</f>
        <v/>
      </c>
      <c r="AN86" s="2">
        <f>IFERROR(VALUE(LEFT(R86,1)),"")</f>
        <v/>
      </c>
      <c r="AO86" s="2">
        <f>IFERROR(VALUE(LEFT(S86,1)),"")</f>
        <v/>
      </c>
      <c r="AP86" s="2">
        <f>IFERROR(VALUE(LEFT(T86,1)),"")</f>
        <v/>
      </c>
      <c r="AQ86" s="2">
        <f>IFERROR(VALUE(LEFT(U86,1)),"")</f>
        <v/>
      </c>
    </row>
    <row r="87">
      <c r="A87" s="2" t="n">
        <v>86</v>
      </c>
      <c r="B87" s="2" t="inlineStr">
        <is>
          <t>Trường Đại học thuộc ĐHQG</t>
        </is>
      </c>
      <c r="C87" s="2" t="inlineStr">
        <is>
          <t>Sinh viên năm 1-2/ Tân sinh viên</t>
        </is>
      </c>
      <c r="D87" s="2" t="inlineStr"/>
      <c r="E87" s="2" t="inlineStr"/>
      <c r="F87" s="2" t="inlineStr">
        <is>
          <t>4 - Khá quan tâm</t>
        </is>
      </c>
      <c r="G87" s="2" t="inlineStr">
        <is>
          <t>4 - Khá quan tâm</t>
        </is>
      </c>
      <c r="H87" s="2" t="inlineStr">
        <is>
          <t>3 - Bình thường</t>
        </is>
      </c>
      <c r="I87" s="2" t="inlineStr">
        <is>
          <t>4 - Khá quan tâm</t>
        </is>
      </c>
      <c r="J87" s="2" t="inlineStr">
        <is>
          <t>4 - Khá quan tâm</t>
        </is>
      </c>
      <c r="K87" s="2" t="inlineStr">
        <is>
          <t>4 - Khá quan tâm</t>
        </is>
      </c>
      <c r="L87" s="2" t="inlineStr">
        <is>
          <t>4 - Khá quan tâm</t>
        </is>
      </c>
      <c r="M87" s="2" t="inlineStr">
        <is>
          <t>4 - Khá quan tâm</t>
        </is>
      </c>
      <c r="N87" s="2" t="inlineStr"/>
      <c r="O87" s="2" t="inlineStr"/>
      <c r="P87" s="2" t="inlineStr"/>
      <c r="Q87" s="2" t="inlineStr"/>
      <c r="R87" s="2" t="inlineStr"/>
      <c r="S87" s="2" t="inlineStr"/>
      <c r="T87" s="2" t="inlineStr"/>
      <c r="U87" s="2" t="inlineStr"/>
      <c r="V87" s="2" t="inlineStr"/>
      <c r="W87" s="2" t="inlineStr">
        <is>
          <t>Có – định hướng học tập &amp; kỹ năng mềm</t>
        </is>
      </c>
      <c r="X87" s="2" t="inlineStr"/>
      <c r="Y87" s="2" t="inlineStr"/>
      <c r="Z87" s="2" t="inlineStr"/>
      <c r="AA87" s="2" t="inlineStr">
        <is>
          <t>Chatbot hỗ trợ</t>
        </is>
      </c>
      <c r="AB87" s="2">
        <f>IFERROR(VALUE(LEFT(F87,1)),"")</f>
        <v/>
      </c>
      <c r="AC87" s="2">
        <f>IFERROR(VALUE(LEFT(G87,1)),"")</f>
        <v/>
      </c>
      <c r="AD87" s="2">
        <f>IFERROR(VALUE(LEFT(H87,1)),"")</f>
        <v/>
      </c>
      <c r="AE87" s="2">
        <f>IFERROR(VALUE(LEFT(I87,1)),"")</f>
        <v/>
      </c>
      <c r="AF87" s="2">
        <f>IFERROR(VALUE(LEFT(J87,1)),"")</f>
        <v/>
      </c>
      <c r="AG87" s="2">
        <f>IFERROR(VALUE(LEFT(K87,1)),"")</f>
        <v/>
      </c>
      <c r="AH87" s="2">
        <f>IFERROR(VALUE(LEFT(L87,1)),"")</f>
        <v/>
      </c>
      <c r="AI87" s="2">
        <f>IFERROR(VALUE(LEFT(M87,1)),"")</f>
        <v/>
      </c>
      <c r="AJ87" s="2">
        <f>IFERROR(VALUE(LEFT(N87,1)),"")</f>
        <v/>
      </c>
      <c r="AK87" s="2">
        <f>IFERROR(VALUE(LEFT(O87,1)),"")</f>
        <v/>
      </c>
      <c r="AL87" s="2">
        <f>IFERROR(VALUE(LEFT(P87,1)),"")</f>
        <v/>
      </c>
      <c r="AM87" s="2">
        <f>IFERROR(VALUE(LEFT(Q87,1)),"")</f>
        <v/>
      </c>
      <c r="AN87" s="2">
        <f>IFERROR(VALUE(LEFT(R87,1)),"")</f>
        <v/>
      </c>
      <c r="AO87" s="2">
        <f>IFERROR(VALUE(LEFT(S87,1)),"")</f>
        <v/>
      </c>
      <c r="AP87" s="2">
        <f>IFERROR(VALUE(LEFT(T87,1)),"")</f>
        <v/>
      </c>
      <c r="AQ87" s="2">
        <f>IFERROR(VALUE(LEFT(U87,1)),"")</f>
        <v/>
      </c>
    </row>
    <row r="88">
      <c r="A88" s="2" t="n">
        <v>87</v>
      </c>
      <c r="B88" s="2" t="inlineStr">
        <is>
          <t>Trường Đại học thuộc ĐHQG</t>
        </is>
      </c>
      <c r="C88" s="2" t="inlineStr">
        <is>
          <t>Cựu sinh viên</t>
        </is>
      </c>
      <c r="D88" s="2" t="inlineStr">
        <is>
          <t>Có</t>
        </is>
      </c>
      <c r="E88" s="2" t="inlineStr">
        <is>
          <t>Có nhưng phải che bớt thông tin</t>
        </is>
      </c>
      <c r="F88" s="2" t="inlineStr"/>
      <c r="G88" s="2" t="inlineStr"/>
      <c r="H88" s="2" t="inlineStr"/>
      <c r="I88" s="2" t="inlineStr"/>
      <c r="J88" s="2" t="inlineStr"/>
      <c r="K88" s="2" t="inlineStr"/>
      <c r="L88" s="2" t="inlineStr"/>
      <c r="M88" s="2" t="inlineStr"/>
      <c r="N88" s="2" t="inlineStr">
        <is>
          <t>4.0</t>
        </is>
      </c>
      <c r="O88" s="2" t="inlineStr">
        <is>
          <t>4.0</t>
        </is>
      </c>
      <c r="P88" s="2" t="inlineStr">
        <is>
          <t>2.0</t>
        </is>
      </c>
      <c r="Q88" s="2" t="inlineStr">
        <is>
          <t>4.0</t>
        </is>
      </c>
      <c r="R88" s="2" t="inlineStr">
        <is>
          <t>3.0</t>
        </is>
      </c>
      <c r="S88" s="2" t="inlineStr">
        <is>
          <t>2.0</t>
        </is>
      </c>
      <c r="T88" s="2" t="inlineStr">
        <is>
          <t>3.0</t>
        </is>
      </c>
      <c r="U88" s="2" t="inlineStr">
        <is>
          <t>4.0</t>
        </is>
      </c>
      <c r="V88" s="2" t="inlineStr">
        <is>
          <t>Có</t>
        </is>
      </c>
      <c r="W88" s="2" t="inlineStr"/>
      <c r="X88" s="2" t="inlineStr"/>
      <c r="Y88" s="2" t="inlineStr">
        <is>
          <t>Workshop nhóm nhỏ</t>
        </is>
      </c>
      <c r="Z88" s="2" t="inlineStr"/>
      <c r="AA88" s="2" t="inlineStr">
        <is>
          <t>Không có</t>
        </is>
      </c>
      <c r="AB88" s="2">
        <f>IFERROR(VALUE(LEFT(F88,1)),"")</f>
        <v/>
      </c>
      <c r="AC88" s="2">
        <f>IFERROR(VALUE(LEFT(G88,1)),"")</f>
        <v/>
      </c>
      <c r="AD88" s="2">
        <f>IFERROR(VALUE(LEFT(H88,1)),"")</f>
        <v/>
      </c>
      <c r="AE88" s="2">
        <f>IFERROR(VALUE(LEFT(I88,1)),"")</f>
        <v/>
      </c>
      <c r="AF88" s="2">
        <f>IFERROR(VALUE(LEFT(J88,1)),"")</f>
        <v/>
      </c>
      <c r="AG88" s="2">
        <f>IFERROR(VALUE(LEFT(K88,1)),"")</f>
        <v/>
      </c>
      <c r="AH88" s="2">
        <f>IFERROR(VALUE(LEFT(L88,1)),"")</f>
        <v/>
      </c>
      <c r="AI88" s="2">
        <f>IFERROR(VALUE(LEFT(M88,1)),"")</f>
        <v/>
      </c>
      <c r="AJ88" s="2">
        <f>IFERROR(VALUE(LEFT(N88,1)),"")</f>
        <v/>
      </c>
      <c r="AK88" s="2">
        <f>IFERROR(VALUE(LEFT(O88,1)),"")</f>
        <v/>
      </c>
      <c r="AL88" s="2">
        <f>IFERROR(VALUE(LEFT(P88,1)),"")</f>
        <v/>
      </c>
      <c r="AM88" s="2">
        <f>IFERROR(VALUE(LEFT(Q88,1)),"")</f>
        <v/>
      </c>
      <c r="AN88" s="2">
        <f>IFERROR(VALUE(LEFT(R88,1)),"")</f>
        <v/>
      </c>
      <c r="AO88" s="2">
        <f>IFERROR(VALUE(LEFT(S88,1)),"")</f>
        <v/>
      </c>
      <c r="AP88" s="2">
        <f>IFERROR(VALUE(LEFT(T88,1)),"")</f>
        <v/>
      </c>
      <c r="AQ88" s="2">
        <f>IFERROR(VALUE(LEFT(U88,1)),"")</f>
        <v/>
      </c>
    </row>
    <row r="89">
      <c r="A89" s="2" t="n">
        <v>88</v>
      </c>
      <c r="B89" s="2" t="inlineStr">
        <is>
          <t>Trường Đại học thuộc ĐHQG</t>
        </is>
      </c>
      <c r="C89" s="2" t="inlineStr">
        <is>
          <t>Cựu sinh viên</t>
        </is>
      </c>
      <c r="D89" s="2" t="inlineStr">
        <is>
          <t>Không</t>
        </is>
      </c>
      <c r="E89" s="2" t="inlineStr">
        <is>
          <t>Có nhưng phải che bớt thông tin</t>
        </is>
      </c>
      <c r="F89" s="2" t="inlineStr"/>
      <c r="G89" s="2" t="inlineStr"/>
      <c r="H89" s="2" t="inlineStr"/>
      <c r="I89" s="2" t="inlineStr"/>
      <c r="J89" s="2" t="inlineStr"/>
      <c r="K89" s="2" t="inlineStr"/>
      <c r="L89" s="2" t="inlineStr"/>
      <c r="M89" s="2" t="inlineStr"/>
      <c r="N89" s="2" t="inlineStr">
        <is>
          <t>5.0</t>
        </is>
      </c>
      <c r="O89" s="2" t="inlineStr">
        <is>
          <t>5.0</t>
        </is>
      </c>
      <c r="P89" s="2" t="inlineStr">
        <is>
          <t>4.0</t>
        </is>
      </c>
      <c r="Q89" s="2" t="inlineStr">
        <is>
          <t>5.0</t>
        </is>
      </c>
      <c r="R89" s="2" t="inlineStr">
        <is>
          <t>5.0</t>
        </is>
      </c>
      <c r="S89" s="2" t="inlineStr">
        <is>
          <t>5.0</t>
        </is>
      </c>
      <c r="T89" s="2" t="inlineStr">
        <is>
          <t>4.0</t>
        </is>
      </c>
      <c r="U89" s="2" t="inlineStr">
        <is>
          <t>4.0</t>
        </is>
      </c>
      <c r="V89" s="2" t="inlineStr">
        <is>
          <t>Có, nhưng giới hạn thời gian</t>
        </is>
      </c>
      <c r="W89" s="2" t="inlineStr"/>
      <c r="X89" s="2" t="inlineStr"/>
      <c r="Y89" s="2" t="inlineStr">
        <is>
          <t>Workshop nhóm nhỏ</t>
        </is>
      </c>
      <c r="Z89" s="2" t="inlineStr"/>
      <c r="AA89" s="2" t="inlineStr">
        <is>
          <t>Không có đề xuất</t>
        </is>
      </c>
      <c r="AB89" s="2">
        <f>IFERROR(VALUE(LEFT(F89,1)),"")</f>
        <v/>
      </c>
      <c r="AC89" s="2">
        <f>IFERROR(VALUE(LEFT(G89,1)),"")</f>
        <v/>
      </c>
      <c r="AD89" s="2">
        <f>IFERROR(VALUE(LEFT(H89,1)),"")</f>
        <v/>
      </c>
      <c r="AE89" s="2">
        <f>IFERROR(VALUE(LEFT(I89,1)),"")</f>
        <v/>
      </c>
      <c r="AF89" s="2">
        <f>IFERROR(VALUE(LEFT(J89,1)),"")</f>
        <v/>
      </c>
      <c r="AG89" s="2">
        <f>IFERROR(VALUE(LEFT(K89,1)),"")</f>
        <v/>
      </c>
      <c r="AH89" s="2">
        <f>IFERROR(VALUE(LEFT(L89,1)),"")</f>
        <v/>
      </c>
      <c r="AI89" s="2">
        <f>IFERROR(VALUE(LEFT(M89,1)),"")</f>
        <v/>
      </c>
      <c r="AJ89" s="2">
        <f>IFERROR(VALUE(LEFT(N89,1)),"")</f>
        <v/>
      </c>
      <c r="AK89" s="2">
        <f>IFERROR(VALUE(LEFT(O89,1)),"")</f>
        <v/>
      </c>
      <c r="AL89" s="2">
        <f>IFERROR(VALUE(LEFT(P89,1)),"")</f>
        <v/>
      </c>
      <c r="AM89" s="2">
        <f>IFERROR(VALUE(LEFT(Q89,1)),"")</f>
        <v/>
      </c>
      <c r="AN89" s="2">
        <f>IFERROR(VALUE(LEFT(R89,1)),"")</f>
        <v/>
      </c>
      <c r="AO89" s="2">
        <f>IFERROR(VALUE(LEFT(S89,1)),"")</f>
        <v/>
      </c>
      <c r="AP89" s="2">
        <f>IFERROR(VALUE(LEFT(T89,1)),"")</f>
        <v/>
      </c>
      <c r="AQ89" s="2">
        <f>IFERROR(VALUE(LEFT(U89,1)),"")</f>
        <v/>
      </c>
    </row>
    <row r="90">
      <c r="A90" s="2" t="n">
        <v>89</v>
      </c>
      <c r="B90" s="2" t="inlineStr">
        <is>
          <t>Trường Đại học thuộc ĐHQG</t>
        </is>
      </c>
      <c r="C90" s="2" t="inlineStr">
        <is>
          <t>Cựu sinh viên</t>
        </is>
      </c>
      <c r="D90" s="2" t="inlineStr">
        <is>
          <t>Không</t>
        </is>
      </c>
      <c r="E90" s="2" t="inlineStr">
        <is>
          <t>Có</t>
        </is>
      </c>
      <c r="F90" s="2" t="inlineStr"/>
      <c r="G90" s="2" t="inlineStr"/>
      <c r="H90" s="2" t="inlineStr"/>
      <c r="I90" s="2" t="inlineStr"/>
      <c r="J90" s="2" t="inlineStr"/>
      <c r="K90" s="2" t="inlineStr"/>
      <c r="L90" s="2" t="inlineStr"/>
      <c r="M90" s="2" t="inlineStr"/>
      <c r="N90" s="2" t="inlineStr">
        <is>
          <t>4.0</t>
        </is>
      </c>
      <c r="O90" s="2" t="inlineStr">
        <is>
          <t>4.0</t>
        </is>
      </c>
      <c r="P90" s="2" t="inlineStr">
        <is>
          <t>4.0</t>
        </is>
      </c>
      <c r="Q90" s="2" t="inlineStr">
        <is>
          <t>4.0</t>
        </is>
      </c>
      <c r="R90" s="2" t="inlineStr">
        <is>
          <t>4.0</t>
        </is>
      </c>
      <c r="S90" s="2" t="inlineStr">
        <is>
          <t>4.0</t>
        </is>
      </c>
      <c r="T90" s="2" t="inlineStr">
        <is>
          <t>4.0</t>
        </is>
      </c>
      <c r="U90" s="2" t="inlineStr">
        <is>
          <t>4.0</t>
        </is>
      </c>
      <c r="V90" s="2" t="inlineStr">
        <is>
          <t>Có</t>
        </is>
      </c>
      <c r="W90" s="2" t="inlineStr"/>
      <c r="X90" s="2" t="inlineStr"/>
      <c r="Y90" s="2" t="inlineStr">
        <is>
          <t>1–1</t>
        </is>
      </c>
      <c r="Z90" s="2" t="inlineStr"/>
      <c r="AA90" s="2" t="inlineStr">
        <is>
          <t>Ko có</t>
        </is>
      </c>
      <c r="AB90" s="2">
        <f>IFERROR(VALUE(LEFT(F90,1)),"")</f>
        <v/>
      </c>
      <c r="AC90" s="2">
        <f>IFERROR(VALUE(LEFT(G90,1)),"")</f>
        <v/>
      </c>
      <c r="AD90" s="2">
        <f>IFERROR(VALUE(LEFT(H90,1)),"")</f>
        <v/>
      </c>
      <c r="AE90" s="2">
        <f>IFERROR(VALUE(LEFT(I90,1)),"")</f>
        <v/>
      </c>
      <c r="AF90" s="2">
        <f>IFERROR(VALUE(LEFT(J90,1)),"")</f>
        <v/>
      </c>
      <c r="AG90" s="2">
        <f>IFERROR(VALUE(LEFT(K90,1)),"")</f>
        <v/>
      </c>
      <c r="AH90" s="2">
        <f>IFERROR(VALUE(LEFT(L90,1)),"")</f>
        <v/>
      </c>
      <c r="AI90" s="2">
        <f>IFERROR(VALUE(LEFT(M90,1)),"")</f>
        <v/>
      </c>
      <c r="AJ90" s="2">
        <f>IFERROR(VALUE(LEFT(N90,1)),"")</f>
        <v/>
      </c>
      <c r="AK90" s="2">
        <f>IFERROR(VALUE(LEFT(O90,1)),"")</f>
        <v/>
      </c>
      <c r="AL90" s="2">
        <f>IFERROR(VALUE(LEFT(P90,1)),"")</f>
        <v/>
      </c>
      <c r="AM90" s="2">
        <f>IFERROR(VALUE(LEFT(Q90,1)),"")</f>
        <v/>
      </c>
      <c r="AN90" s="2">
        <f>IFERROR(VALUE(LEFT(R90,1)),"")</f>
        <v/>
      </c>
      <c r="AO90" s="2">
        <f>IFERROR(VALUE(LEFT(S90,1)),"")</f>
        <v/>
      </c>
      <c r="AP90" s="2">
        <f>IFERROR(VALUE(LEFT(T90,1)),"")</f>
        <v/>
      </c>
      <c r="AQ90" s="2">
        <f>IFERROR(VALUE(LEFT(U90,1)),"")</f>
        <v/>
      </c>
    </row>
    <row r="91">
      <c r="A91" s="2" t="n">
        <v>90</v>
      </c>
      <c r="B91" s="2" t="inlineStr">
        <is>
          <t>Trường Đại học thuộc ĐHQG</t>
        </is>
      </c>
      <c r="C91" s="2" t="inlineStr">
        <is>
          <t>Cựu sinh viên</t>
        </is>
      </c>
      <c r="D91" s="2" t="inlineStr">
        <is>
          <t>Không</t>
        </is>
      </c>
      <c r="E91" s="2" t="inlineStr">
        <is>
          <t>Có nhưng phải che bớt thông tin</t>
        </is>
      </c>
      <c r="F91" s="2" t="inlineStr"/>
      <c r="G91" s="2" t="inlineStr"/>
      <c r="H91" s="2" t="inlineStr"/>
      <c r="I91" s="2" t="inlineStr"/>
      <c r="J91" s="2" t="inlineStr"/>
      <c r="K91" s="2" t="inlineStr"/>
      <c r="L91" s="2" t="inlineStr"/>
      <c r="M91" s="2" t="inlineStr"/>
      <c r="N91" s="2" t="inlineStr">
        <is>
          <t>3.0</t>
        </is>
      </c>
      <c r="O91" s="2" t="inlineStr">
        <is>
          <t>4.0</t>
        </is>
      </c>
      <c r="P91" s="2" t="inlineStr">
        <is>
          <t>3.0</t>
        </is>
      </c>
      <c r="Q91" s="2" t="inlineStr">
        <is>
          <t>5.0</t>
        </is>
      </c>
      <c r="R91" s="2" t="inlineStr">
        <is>
          <t>5.0</t>
        </is>
      </c>
      <c r="S91" s="2" t="inlineStr">
        <is>
          <t>3.0</t>
        </is>
      </c>
      <c r="T91" s="2" t="inlineStr">
        <is>
          <t>3.0</t>
        </is>
      </c>
      <c r="U91" s="2" t="inlineStr">
        <is>
          <t>3.0</t>
        </is>
      </c>
      <c r="V91" s="2" t="inlineStr">
        <is>
          <t>Chưa chắc chắn (cần tìm hiểu thêm)</t>
        </is>
      </c>
      <c r="W91" s="2" t="inlineStr"/>
      <c r="X91" s="2" t="inlineStr"/>
      <c r="Y91" s="2" t="inlineStr">
        <is>
          <t>Workshop nhóm nhỏ</t>
        </is>
      </c>
      <c r="Z91" s="2" t="inlineStr"/>
      <c r="AA91" s="2" t="inlineStr">
        <is>
          <t>Anh chưa nghĩ ra những tính năng nào khác</t>
        </is>
      </c>
      <c r="AB91" s="2">
        <f>IFERROR(VALUE(LEFT(F91,1)),"")</f>
        <v/>
      </c>
      <c r="AC91" s="2">
        <f>IFERROR(VALUE(LEFT(G91,1)),"")</f>
        <v/>
      </c>
      <c r="AD91" s="2">
        <f>IFERROR(VALUE(LEFT(H91,1)),"")</f>
        <v/>
      </c>
      <c r="AE91" s="2">
        <f>IFERROR(VALUE(LEFT(I91,1)),"")</f>
        <v/>
      </c>
      <c r="AF91" s="2">
        <f>IFERROR(VALUE(LEFT(J91,1)),"")</f>
        <v/>
      </c>
      <c r="AG91" s="2">
        <f>IFERROR(VALUE(LEFT(K91,1)),"")</f>
        <v/>
      </c>
      <c r="AH91" s="2">
        <f>IFERROR(VALUE(LEFT(L91,1)),"")</f>
        <v/>
      </c>
      <c r="AI91" s="2">
        <f>IFERROR(VALUE(LEFT(M91,1)),"")</f>
        <v/>
      </c>
      <c r="AJ91" s="2">
        <f>IFERROR(VALUE(LEFT(N91,1)),"")</f>
        <v/>
      </c>
      <c r="AK91" s="2">
        <f>IFERROR(VALUE(LEFT(O91,1)),"")</f>
        <v/>
      </c>
      <c r="AL91" s="2">
        <f>IFERROR(VALUE(LEFT(P91,1)),"")</f>
        <v/>
      </c>
      <c r="AM91" s="2">
        <f>IFERROR(VALUE(LEFT(Q91,1)),"")</f>
        <v/>
      </c>
      <c r="AN91" s="2">
        <f>IFERROR(VALUE(LEFT(R91,1)),"")</f>
        <v/>
      </c>
      <c r="AO91" s="2">
        <f>IFERROR(VALUE(LEFT(S91,1)),"")</f>
        <v/>
      </c>
      <c r="AP91" s="2">
        <f>IFERROR(VALUE(LEFT(T91,1)),"")</f>
        <v/>
      </c>
      <c r="AQ91" s="2">
        <f>IFERROR(VALUE(LEFT(U91,1)),"")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2" customWidth="1" min="3" max="3"/>
    <col width="10" customWidth="1" min="4" max="4"/>
  </cols>
  <sheetData>
    <row r="1">
      <c r="A1" s="1" t="inlineStr">
        <is>
          <t>Tiêu chí</t>
        </is>
      </c>
      <c r="B1" s="1" t="inlineStr">
        <is>
          <t>Nhóm</t>
        </is>
      </c>
      <c r="C1" s="1" t="inlineStr">
        <is>
          <t>Số lượng (công thức)</t>
        </is>
      </c>
      <c r="D1" s="1" t="inlineStr">
        <is>
          <t>Tỉ lệ %</t>
        </is>
      </c>
    </row>
    <row r="2">
      <c r="A2" s="4" t="inlineStr">
        <is>
          <t>Nơi học</t>
        </is>
      </c>
      <c r="B2" s="4" t="inlineStr">
        <is>
          <t>Trường thuộc ĐHQG-HCM</t>
        </is>
      </c>
      <c r="C2" s="5">
        <f>COUNTIF(1_DuLieuNguon!B2:B91,"*thuộc ĐHQG*")</f>
        <v/>
      </c>
      <c r="D2" s="5">
        <f>ROUND(C2/$C$9*100,1)</f>
        <v/>
      </c>
    </row>
    <row r="3">
      <c r="A3" s="4" t="inlineStr">
        <is>
          <t>Nơi học</t>
        </is>
      </c>
      <c r="B3" s="4" t="inlineStr">
        <is>
          <t>Trường khác tại Việt Nam</t>
        </is>
      </c>
      <c r="C3" s="5">
        <f>COUNTIF(1_DuLieuNguon!B2:B91,"*ngoài ĐHQG*")</f>
        <v/>
      </c>
      <c r="D3" s="5">
        <f>ROUND(C3/$C$9*100,1)</f>
        <v/>
      </c>
    </row>
    <row r="4">
      <c r="A4" s="4" t="inlineStr">
        <is>
          <t>Nơi học</t>
        </is>
      </c>
      <c r="B4" s="4" t="inlineStr">
        <is>
          <t>Trường ở nước ngoài</t>
        </is>
      </c>
      <c r="C4" s="5">
        <f>COUNTIF(1_DuLieuNguon!B2:B91,"*nước ngoài*")</f>
        <v/>
      </c>
      <c r="D4" s="5">
        <f>ROUND(C4/$C$9*100,1)</f>
        <v/>
      </c>
    </row>
    <row r="5">
      <c r="A5" s="4" t="inlineStr">
        <is>
          <t>Nơi học</t>
        </is>
      </c>
      <c r="B5" s="4" t="inlineStr">
        <is>
          <t>Khác</t>
        </is>
      </c>
      <c r="C5" s="5">
        <f>C9-C2-C3-C4</f>
        <v/>
      </c>
      <c r="D5" s="5">
        <f>ROUND(C5/$C$9*100,1)</f>
        <v/>
      </c>
    </row>
    <row r="6">
      <c r="A6" s="4" t="inlineStr">
        <is>
          <t>Vai trò</t>
        </is>
      </c>
      <c r="B6" s="4" t="inlineStr">
        <is>
          <t>Sinh viên năm 3-4</t>
        </is>
      </c>
      <c r="C6" s="5">
        <f>COUNTIF(1_DuLieuNguon!C2:C91,"*3-4*")</f>
        <v/>
      </c>
      <c r="D6" s="5">
        <f>ROUND(C6/$C$9*100,1)</f>
        <v/>
      </c>
    </row>
    <row r="7">
      <c r="A7" s="4" t="inlineStr">
        <is>
          <t>Vai trò</t>
        </is>
      </c>
      <c r="B7" s="4" t="inlineStr">
        <is>
          <t>Sinh viên năm 1-2 / Tân SV</t>
        </is>
      </c>
      <c r="C7" s="5">
        <f>COUNTIF(1_DuLieuNguon!C2:C91,"*1-2*")</f>
        <v/>
      </c>
      <c r="D7" s="5">
        <f>ROUND(C7/$C$9*100,1)</f>
        <v/>
      </c>
    </row>
    <row r="8">
      <c r="A8" s="4" t="inlineStr">
        <is>
          <t>Vai trò</t>
        </is>
      </c>
      <c r="B8" s="4" t="inlineStr">
        <is>
          <t>Cựu sinh viên</t>
        </is>
      </c>
      <c r="C8" s="5">
        <f>COUNTIF(1_DuLieuNguon!C2:C91,"Cựu sinh viên")</f>
        <v/>
      </c>
      <c r="D8" s="5">
        <f>ROUND(C8/$C$9*100,1)</f>
        <v/>
      </c>
    </row>
    <row r="9">
      <c r="A9" s="4" t="inlineStr">
        <is>
          <t>Tổng</t>
        </is>
      </c>
      <c r="B9" s="4" t="inlineStr">
        <is>
          <t>N (số phản hồi)</t>
        </is>
      </c>
      <c r="C9" s="5">
        <f>COUNTA(1_DuLieuNguon!A2:A91)</f>
        <v/>
      </c>
      <c r="D9" s="5">
        <f>100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 width="14" customWidth="1" min="3" max="3"/>
    <col width="20" customWidth="1" min="4" max="4"/>
    <col width="14" customWidth="1" min="5" max="5"/>
  </cols>
  <sheetData>
    <row r="1">
      <c r="A1" s="1" t="inlineStr">
        <is>
          <t>Nhu cầu (nhóm SV)</t>
        </is>
      </c>
      <c r="B1" s="1" t="inlineStr">
        <is>
          <t>Số trả lời (n)</t>
        </is>
      </c>
      <c r="C1" s="1" t="inlineStr">
        <is>
          <t>Điểm TB (1-5)</t>
        </is>
      </c>
      <c r="D1" s="1" t="inlineStr">
        <is>
          <t>Số 'rất quan tâm' (=5)</t>
        </is>
      </c>
      <c r="E1" s="1" t="inlineStr">
        <is>
          <t>% rất quan tâm</t>
        </is>
      </c>
    </row>
    <row r="2">
      <c r="A2" s="2" t="inlineStr">
        <is>
          <t>Có chat bot để được hỗ trợ nhanh những thông tin của trường/ khoa</t>
        </is>
      </c>
      <c r="B2" s="2">
        <f>COUNT(1_DuLieuNguon!AB2:AB91)</f>
        <v/>
      </c>
      <c r="C2" s="2">
        <f>ROUND(AVERAGE(1_DuLieuNguon!AB2:AB91),2)</f>
        <v/>
      </c>
      <c r="D2" s="2">
        <f>COUNTIF(1_DuLieuNguon!AB2:AB91,5)</f>
        <v/>
      </c>
      <c r="E2" s="2">
        <f>ROUND(D2/B2*100,0)</f>
        <v/>
      </c>
    </row>
    <row r="3">
      <c r="A3" s="2" t="inlineStr">
        <is>
          <t>Có forum để hỏi đáp theo topic, dễ dàng tìm kiếm những topic có liên quan</t>
        </is>
      </c>
      <c r="B3" s="2">
        <f>COUNT(1_DuLieuNguon!AC2:AC91)</f>
        <v/>
      </c>
      <c r="C3" s="2">
        <f>ROUND(AVERAGE(1_DuLieuNguon!AC2:AC91),2)</f>
        <v/>
      </c>
      <c r="D3" s="2">
        <f>COUNTIF(1_DuLieuNguon!AC2:AC91,5)</f>
        <v/>
      </c>
      <c r="E3" s="2">
        <f>ROUND(D3/B3*100,0)</f>
        <v/>
      </c>
    </row>
    <row r="4">
      <c r="A4" s="2" t="inlineStr">
        <is>
          <t>Có cơ hội tham gia những networking event</t>
        </is>
      </c>
      <c r="B4" s="2">
        <f>COUNT(1_DuLieuNguon!AD2:AD91)</f>
        <v/>
      </c>
      <c r="C4" s="2">
        <f>ROUND(AVERAGE(1_DuLieuNguon!AD2:AD91),2)</f>
        <v/>
      </c>
      <c r="D4" s="2">
        <f>COUNTIF(1_DuLieuNguon!AD2:AD91,5)</f>
        <v/>
      </c>
      <c r="E4" s="2">
        <f>ROUND(D4/B4*100,0)</f>
        <v/>
      </c>
    </row>
    <row r="5">
      <c r="A5" s="2" t="inlineStr">
        <is>
          <t>Có trang công bố những thông tin về quỹ/ học bổng cho sinh viên</t>
        </is>
      </c>
      <c r="B5" s="2">
        <f>COUNT(1_DuLieuNguon!AE2:AE91)</f>
        <v/>
      </c>
      <c r="C5" s="2">
        <f>ROUND(AVERAGE(1_DuLieuNguon!AE2:AE91),2)</f>
        <v/>
      </c>
      <c r="D5" s="2">
        <f>COUNTIF(1_DuLieuNguon!AE2:AE91,5)</f>
        <v/>
      </c>
      <c r="E5" s="2">
        <f>ROUND(D5/B5*100,0)</f>
        <v/>
      </c>
    </row>
    <row r="6">
      <c r="A6" s="2" t="inlineStr">
        <is>
          <t>Có nơi chia sẻ khoá học cho sinh viên</t>
        </is>
      </c>
      <c r="B6" s="2">
        <f>COUNT(1_DuLieuNguon!AF2:AF91)</f>
        <v/>
      </c>
      <c r="C6" s="2">
        <f>ROUND(AVERAGE(1_DuLieuNguon!AF2:AF91),2)</f>
        <v/>
      </c>
      <c r="D6" s="2">
        <f>COUNTIF(1_DuLieuNguon!AF2:AF91,5)</f>
        <v/>
      </c>
      <c r="E6" s="2">
        <f>ROUND(D6/B6*100,0)</f>
        <v/>
      </c>
    </row>
    <row r="7">
      <c r="A7" s="2" t="inlineStr">
        <is>
          <t>Được tiếp cận với những cơ hội nghề nghiệp (tự apply/ referral từ cựu sinh viên)</t>
        </is>
      </c>
      <c r="B7" s="2">
        <f>COUNT(1_DuLieuNguon!AG2:AG91)</f>
        <v/>
      </c>
      <c r="C7" s="2">
        <f>ROUND(AVERAGE(1_DuLieuNguon!AG2:AG91),2)</f>
        <v/>
      </c>
      <c r="D7" s="2">
        <f>COUNTIF(1_DuLieuNguon!AG2:AG91,5)</f>
        <v/>
      </c>
      <c r="E7" s="2">
        <f>ROUND(D7/B7*100,0)</f>
        <v/>
      </c>
    </row>
    <row r="8">
      <c r="A8" s="2" t="inlineStr">
        <is>
          <t>Dễ dàng tìm kiếm mentor/ người hướng dẫn trong ngành</t>
        </is>
      </c>
      <c r="B8" s="2">
        <f>COUNT(1_DuLieuNguon!AH2:AH91)</f>
        <v/>
      </c>
      <c r="C8" s="2">
        <f>ROUND(AVERAGE(1_DuLieuNguon!AH2:AH91),2)</f>
        <v/>
      </c>
      <c r="D8" s="2">
        <f>COUNTIF(1_DuLieuNguon!AH2:AH91,5)</f>
        <v/>
      </c>
      <c r="E8" s="2">
        <f>ROUND(D8/B8*100,0)</f>
        <v/>
      </c>
    </row>
    <row r="9">
      <c r="A9" s="2" t="inlineStr">
        <is>
          <t>Có nguồn thông tin về cơ hội học tập sau đại học</t>
        </is>
      </c>
      <c r="B9" s="2">
        <f>COUNT(1_DuLieuNguon!AI2:AI91)</f>
        <v/>
      </c>
      <c r="C9" s="2">
        <f>ROUND(AVERAGE(1_DuLieuNguon!AI2:AI91),2)</f>
        <v/>
      </c>
      <c r="D9" s="2">
        <f>COUNTIF(1_DuLieuNguon!AI2:AI91,5)</f>
        <v/>
      </c>
      <c r="E9" s="2">
        <f>ROUND(D9/B9*100,0)</f>
        <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 width="14" customWidth="1" min="3" max="3"/>
    <col width="20" customWidth="1" min="4" max="4"/>
    <col width="14" customWidth="1" min="5" max="5"/>
  </cols>
  <sheetData>
    <row r="1">
      <c r="A1" s="1" t="inlineStr">
        <is>
          <t>Nhu cầu (nhóm CSV)</t>
        </is>
      </c>
      <c r="B1" s="1" t="inlineStr">
        <is>
          <t>Số trả lời (n)</t>
        </is>
      </c>
      <c r="C1" s="1" t="inlineStr">
        <is>
          <t>Điểm TB (1-5)</t>
        </is>
      </c>
      <c r="D1" s="1" t="inlineStr">
        <is>
          <t>Số 'rất quan tâm' (=5)</t>
        </is>
      </c>
      <c r="E1" s="1" t="inlineStr">
        <is>
          <t>% rất quan tâm</t>
        </is>
      </c>
    </row>
    <row r="2">
      <c r="A2" s="2" t="inlineStr">
        <is>
          <t>Cập nhật tin tức mới nhất về trường và khoa.</t>
        </is>
      </c>
      <c r="B2" s="2">
        <f>COUNT(1_DuLieuNguon!AJ2:AJ91)</f>
        <v/>
      </c>
      <c r="C2" s="2">
        <f>ROUND(AVERAGE(1_DuLieuNguon!AJ2:AJ91),2)</f>
        <v/>
      </c>
      <c r="D2" s="2">
        <f>COUNTIF(1_DuLieuNguon!AJ2:AJ91,5)</f>
        <v/>
      </c>
      <c r="E2" s="2">
        <f>ROUND(D2/B2*100,0)</f>
        <v/>
      </c>
    </row>
    <row r="3">
      <c r="A3" s="2" t="inlineStr">
        <is>
          <t>Theo dõi hoặc tham gia các sự kiện dành cho sinh viên và cựu sinh viên.</t>
        </is>
      </c>
      <c r="B3" s="2">
        <f>COUNT(1_DuLieuNguon!AK2:AK91)</f>
        <v/>
      </c>
      <c r="C3" s="2">
        <f>ROUND(AVERAGE(1_DuLieuNguon!AK2:AK91),2)</f>
        <v/>
      </c>
      <c r="D3" s="2">
        <f>COUNTIF(1_DuLieuNguon!AK2:AK91,5)</f>
        <v/>
      </c>
      <c r="E3" s="2">
        <f>ROUND(D3/B3*100,0)</f>
        <v/>
      </c>
    </row>
    <row r="4">
      <c r="A4" s="2" t="inlineStr">
        <is>
          <t>Giao lưu và thảo luận trong cộng đồng sinh viên – cựu sinh viên.</t>
        </is>
      </c>
      <c r="B4" s="2">
        <f>COUNT(1_DuLieuNguon!AL2:AL91)</f>
        <v/>
      </c>
      <c r="C4" s="2">
        <f>ROUND(AVERAGE(1_DuLieuNguon!AL2:AL91),2)</f>
        <v/>
      </c>
      <c r="D4" s="2">
        <f>COUNTIF(1_DuLieuNguon!AL2:AL91,5)</f>
        <v/>
      </c>
      <c r="E4" s="2">
        <f>ROUND(D4/B4*100,0)</f>
        <v/>
      </c>
    </row>
    <row r="5">
      <c r="A5" s="2" t="inlineStr">
        <is>
          <t>Tìm kiếm hoặc chia sẻ cơ hội nghề nghiệp.</t>
        </is>
      </c>
      <c r="B5" s="2">
        <f>COUNT(1_DuLieuNguon!AM2:AM91)</f>
        <v/>
      </c>
      <c r="C5" s="2">
        <f>ROUND(AVERAGE(1_DuLieuNguon!AM2:AM91),2)</f>
        <v/>
      </c>
      <c r="D5" s="2">
        <f>COUNTIF(1_DuLieuNguon!AM2:AM91,5)</f>
        <v/>
      </c>
      <c r="E5" s="2">
        <f>ROUND(D5/B5*100,0)</f>
        <v/>
      </c>
    </row>
    <row r="6">
      <c r="A6" s="2" t="inlineStr">
        <is>
          <t>Tìm kiếm hoặc chia sẻ các khoá học, tài liệu học tập, cơ hội học tập sau đại học.</t>
        </is>
      </c>
      <c r="B6" s="2">
        <f>COUNT(1_DuLieuNguon!AN2:AN91)</f>
        <v/>
      </c>
      <c r="C6" s="2">
        <f>ROUND(AVERAGE(1_DuLieuNguon!AN2:AN91),2)</f>
        <v/>
      </c>
      <c r="D6" s="2">
        <f>COUNTIF(1_DuLieuNguon!AN2:AN91,5)</f>
        <v/>
      </c>
      <c r="E6" s="2">
        <f>ROUND(D6/B6*100,0)</f>
        <v/>
      </c>
    </row>
    <row r="7">
      <c r="A7" s="2" t="inlineStr">
        <is>
          <t>Tham gia chương trình mentorship (hỗ trợ hoặc được hỗ trợ).</t>
        </is>
      </c>
      <c r="B7" s="2">
        <f>COUNT(1_DuLieuNguon!AO2:AO91)</f>
        <v/>
      </c>
      <c r="C7" s="2">
        <f>ROUND(AVERAGE(1_DuLieuNguon!AO2:AO91),2)</f>
        <v/>
      </c>
      <c r="D7" s="2">
        <f>COUNTIF(1_DuLieuNguon!AO2:AO91,5)</f>
        <v/>
      </c>
      <c r="E7" s="2">
        <f>ROUND(D7/B7*100,0)</f>
        <v/>
      </c>
    </row>
    <row r="8">
      <c r="A8" s="2" t="inlineStr">
        <is>
          <t>Đóng góp, gây quỹ hoặc hỗ trợ các hoạt động vì sinh viên.</t>
        </is>
      </c>
      <c r="B8" s="2">
        <f>COUNT(1_DuLieuNguon!AP2:AP91)</f>
        <v/>
      </c>
      <c r="C8" s="2">
        <f>ROUND(AVERAGE(1_DuLieuNguon!AP2:AP91),2)</f>
        <v/>
      </c>
      <c r="D8" s="2">
        <f>COUNTIF(1_DuLieuNguon!AP2:AP91,5)</f>
        <v/>
      </c>
      <c r="E8" s="2">
        <f>ROUND(D8/B8*100,0)</f>
        <v/>
      </c>
    </row>
    <row r="9">
      <c r="A9" s="2" t="inlineStr">
        <is>
          <t>Theo dõi các chương trình ghi nhận và vinh danh cựu sinh viên.</t>
        </is>
      </c>
      <c r="B9" s="2">
        <f>COUNT(1_DuLieuNguon!AQ2:AQ91)</f>
        <v/>
      </c>
      <c r="C9" s="2">
        <f>ROUND(AVERAGE(1_DuLieuNguon!AQ2:AQ91),2)</f>
        <v/>
      </c>
      <c r="D9" s="2">
        <f>COUNTIF(1_DuLieuNguon!AQ2:AQ91,5)</f>
        <v/>
      </c>
      <c r="E9" s="2">
        <f>ROUND(D9/B9*100,0)</f>
        <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42" customWidth="1" min="3" max="3"/>
  </cols>
  <sheetData>
    <row r="1">
      <c r="A1" s="1" t="inlineStr">
        <is>
          <t>Chỉ số</t>
        </is>
      </c>
      <c r="B1" s="1" t="inlineStr">
        <is>
          <t>Giá trị (công thức)</t>
        </is>
      </c>
      <c r="C1" s="1" t="inlineStr">
        <is>
          <t>Ghi chú</t>
        </is>
      </c>
    </row>
    <row r="2">
      <c r="A2" s="2" t="inlineStr">
        <is>
          <t>Cầu: SV muốn mentorship (Có*)</t>
        </is>
      </c>
      <c r="B2" s="2">
        <f>COUNTIF(1_DuLieuNguon!G2:G91,"Có*")</f>
        <v/>
      </c>
      <c r="C2" s="2" t="inlineStr">
        <is>
          <t>SV mong muốn tham gia cố vấn</t>
        </is>
      </c>
    </row>
    <row r="3">
      <c r="A3" s="2" t="inlineStr">
        <is>
          <t>Cầu: SV không cần</t>
        </is>
      </c>
      <c r="B3" s="2">
        <f>COUNTIF(1_DuLieuNguon!G2:G91,"Không*")</f>
        <v/>
      </c>
      <c r="C3" s="2" t="inlineStr"/>
    </row>
    <row r="4">
      <c r="A4" s="2" t="inlineStr">
        <is>
          <t>Cung: Alumni sẵn sàng làm mentor (Có*)</t>
        </is>
      </c>
      <c r="B4" s="2">
        <f>COUNTIF(1_DuLieuNguon!V2:V91,"Có*")</f>
        <v/>
      </c>
      <c r="C4" s="2" t="inlineStr">
        <is>
          <t>Kể cả có giới hạn thời gian</t>
        </is>
      </c>
    </row>
    <row r="5">
      <c r="A5" s="2" t="inlineStr">
        <is>
          <t>Cung: Alumni chưa chắc</t>
        </is>
      </c>
      <c r="B5" s="2">
        <f>COUNTIF(1_DuLieuNguon!V2:V91,"Chưa*")</f>
        <v/>
      </c>
      <c r="C5" s="2" t="inlineStr">
        <is>
          <t>Rào cản cần giảm ma sát</t>
        </is>
      </c>
    </row>
    <row r="6">
      <c r="A6" s="2" t="inlineStr">
        <is>
          <t>Cung: Alumni không</t>
        </is>
      </c>
      <c r="B6" s="2">
        <f>COUNTIF(1_DuLieuNguon!V2:V91,"Không")</f>
        <v/>
      </c>
      <c r="C6" s="2" t="inlineStr"/>
    </row>
    <row r="7">
      <c r="A7" s="2" t="inlineStr">
        <is>
          <t>SV kế hoạch: Đi làm</t>
        </is>
      </c>
      <c r="B7" s="2">
        <f>COUNTIF(1_DuLieuNguon!X2:X91,"Đi làm")</f>
        <v/>
      </c>
      <c r="C7" s="2" t="inlineStr">
        <is>
          <t>Củng cố tính năng việc làm/referral</t>
        </is>
      </c>
    </row>
    <row r="8">
      <c r="A8" s="2" t="inlineStr">
        <is>
          <t>SV kế hoạch: Học sau ĐH</t>
        </is>
      </c>
      <c r="B8" s="2">
        <f>COUNTIF(1_DuLieuNguon!X2:X91,"Học tiếp*")</f>
        <v/>
      </c>
      <c r="C8" s="2" t="inlineStr">
        <is>
          <t>Củng cố tính năng học liệu/học sau ĐH</t>
        </is>
      </c>
    </row>
    <row r="9">
      <c r="A9" s="2" t="inlineStr">
        <is>
          <t>SV sẵn sàng dành thời gian cố định (Có/Có thể)</t>
        </is>
      </c>
      <c r="B9" s="2">
        <f>COUNTIF(1_DuLieuNguon!Z2:Z91,"Có*")</f>
        <v/>
      </c>
      <c r="C9" s="2" t="inlineStr">
        <is>
          <t>Khả thi cho lịch cố vấn định kỳ</t>
        </is>
      </c>
    </row>
    <row r="10">
      <c r="A10" s="2" t="inlineStr">
        <is>
          <t>CCCD: chỉ đồng ý nếu che bớt</t>
        </is>
      </c>
      <c r="B10" s="2">
        <f>COUNTIF(1_DuLieuNguon!E2:E91,"*che bớt*")</f>
        <v/>
      </c>
      <c r="C10" s="2" t="inlineStr">
        <is>
          <t>Thiết kế xác minh cho phép che thông tin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90" customWidth="1" min="3" max="3"/>
    <col width="34" customWidth="1" min="4" max="4"/>
  </cols>
  <sheetData>
    <row r="1">
      <c r="A1" s="1" t="inlineStr">
        <is>
          <t>STT</t>
        </is>
      </c>
      <c r="B1" s="1" t="inlineStr">
        <is>
          <t>Vai trò</t>
        </is>
      </c>
      <c r="C1" s="1" t="inlineStr">
        <is>
          <t>Đề xuất tính năng (trích nguyên văn khảo sát)</t>
        </is>
      </c>
      <c r="D1" s="1" t="inlineStr">
        <is>
          <t>Ánh xạ tính năng AlumVerse</t>
        </is>
      </c>
    </row>
    <row r="2">
      <c r="A2" s="2" t="n">
        <v>1</v>
      </c>
      <c r="B2" s="2" t="inlineStr">
        <is>
          <t>Sinh viên năm 1-2/ Tân sinh viên</t>
        </is>
      </c>
      <c r="C2" s="2" t="inlineStr">
        <is>
          <t>Mình vẫn chưa nghĩ ra</t>
        </is>
      </c>
      <c r="D2" s="2" t="inlineStr"/>
    </row>
    <row r="3">
      <c r="A3" s="2" t="n">
        <v>2</v>
      </c>
      <c r="B3" s="2" t="inlineStr">
        <is>
          <t>Cựu sinh viên</t>
        </is>
      </c>
      <c r="C3" s="2" t="inlineStr">
        <is>
          <t>Trang web</t>
        </is>
      </c>
      <c r="D3" s="2" t="inlineStr"/>
    </row>
    <row r="4">
      <c r="A4" s="2" t="n">
        <v>3</v>
      </c>
      <c r="B4" s="2" t="inlineStr">
        <is>
          <t>Sinh viên năm 1-2/ Tân sinh viên</t>
        </is>
      </c>
      <c r="C4" s="2" t="inlineStr">
        <is>
          <t>- Tổng hợp toàn bộ tài liệu của từng môn cho svien năm 1-2 + nguồn video học tập</t>
        </is>
      </c>
      <c r="D4" s="2" t="inlineStr">
        <is>
          <t>Học liệu: kho tài liệu theo môn</t>
        </is>
      </c>
    </row>
    <row r="5">
      <c r="A5" s="2" t="n">
        <v>4</v>
      </c>
      <c r="B5" s="2" t="inlineStr">
        <is>
          <t>Sinh viên năm 1-2/ Tân sinh viên</t>
        </is>
      </c>
      <c r="C5" s="2" t="inlineStr">
        <is>
          <t>Phân chia mục/nhóm/forum riêng cho từng CLB đội nhóm để mọi người có thể nắm thông tin các event đang diễn ra, hỏi đáp thắc mắc về các CLB</t>
        </is>
      </c>
      <c r="D5" s="2" t="inlineStr">
        <is>
          <t>Diễn đàn/nhóm theo CLB</t>
        </is>
      </c>
    </row>
    <row r="6">
      <c r="A6" s="2" t="n">
        <v>5</v>
      </c>
      <c r="B6" s="2" t="inlineStr">
        <is>
          <t>Sinh viên năm 1-2/ Tân sinh viên</t>
        </is>
      </c>
      <c r="C6" s="2" t="inlineStr">
        <is>
          <t>Em không có ý kiến gì thêm</t>
        </is>
      </c>
      <c r="D6" s="2" t="inlineStr"/>
    </row>
    <row r="7">
      <c r="A7" s="2" t="n">
        <v>6</v>
      </c>
      <c r="B7" s="2" t="inlineStr">
        <is>
          <t>Sinh viên năm 1-2/ Tân sinh viên</t>
        </is>
      </c>
      <c r="C7" s="2" t="inlineStr">
        <is>
          <t>Không biết</t>
        </is>
      </c>
      <c r="D7" s="2" t="inlineStr"/>
    </row>
    <row r="8">
      <c r="A8" s="2" t="n">
        <v>7</v>
      </c>
      <c r="B8" s="2" t="inlineStr">
        <is>
          <t>Sinh viên năm 1-2/ Tân sinh viên</t>
        </is>
      </c>
      <c r="C8" s="2" t="inlineStr">
        <is>
          <t>Em chưa tìm hiểu về web này nên em không biết nữa</t>
        </is>
      </c>
      <c r="D8" s="2" t="inlineStr"/>
    </row>
    <row r="9">
      <c r="A9" s="2" t="n">
        <v>8</v>
      </c>
      <c r="B9" s="2" t="inlineStr">
        <is>
          <t>Sinh viên năm 1-2/ Tân sinh viên</t>
        </is>
      </c>
      <c r="C9" s="2" t="inlineStr">
        <is>
          <t>Dạ ngoài những tính năng AlumVerse đã nhắc thì em chưa nghĩ thấy cần thêm gì tốt hơn nữa ạ</t>
        </is>
      </c>
      <c r="D9" s="2" t="inlineStr"/>
    </row>
    <row r="10">
      <c r="A10" s="2" t="n">
        <v>9</v>
      </c>
      <c r="B10" s="2" t="inlineStr">
        <is>
          <t>Sinh viên năm 3-4</t>
        </is>
      </c>
      <c r="C10" s="2" t="inlineStr">
        <is>
          <t>Mình chưa nghĩ ra.</t>
        </is>
      </c>
      <c r="D10" s="2" t="inlineStr"/>
    </row>
    <row r="11">
      <c r="A11" s="2" t="n">
        <v>10</v>
      </c>
      <c r="B11" s="2" t="inlineStr">
        <is>
          <t>Sinh viên năm 1-2/ Tân sinh viên</t>
        </is>
      </c>
      <c r="C11" s="2" t="inlineStr">
        <is>
          <t>Em đề xuất nên có chức năng tổ chức cuộc họp/ lớp học như gg meet trên nền tảng này luôn, không bị giới hạn thời gian ạ</t>
        </is>
      </c>
      <c r="D11" s="2" t="inlineStr"/>
    </row>
    <row r="12">
      <c r="A12" s="2" t="n">
        <v>11</v>
      </c>
      <c r="B12" s="2" t="inlineStr">
        <is>
          <t>Sinh viên năm 1-2/ Tân sinh viên</t>
        </is>
      </c>
      <c r="C12" s="2" t="inlineStr">
        <is>
          <t>Em chưa nghĩ ra</t>
        </is>
      </c>
      <c r="D12" s="2" t="inlineStr"/>
    </row>
    <row r="13">
      <c r="A13" s="2" t="n">
        <v>12</v>
      </c>
      <c r="B13" s="2" t="inlineStr">
        <is>
          <t>Sinh viên năm 3-4</t>
        </is>
      </c>
      <c r="C13" s="2" t="inlineStr">
        <is>
          <t>- build portfolio
- roadmap cá nhân hoá</t>
        </is>
      </c>
      <c r="D13" s="2" t="inlineStr">
        <is>
          <t>Cố vấn: hồ sơ/lộ trình cá nhân hóa</t>
        </is>
      </c>
    </row>
    <row r="14">
      <c r="A14" s="2" t="n">
        <v>13</v>
      </c>
      <c r="B14" s="2" t="inlineStr">
        <is>
          <t>Sinh viên năm 1-2/ Tân sinh viên</t>
        </is>
      </c>
      <c r="C14" s="2" t="inlineStr">
        <is>
          <t>Dạ chủ yếu em mong muốn achi khoá trên chia sẻ kinh nghiệm về ngành học ạ</t>
        </is>
      </c>
      <c r="D14" s="2" t="inlineStr"/>
    </row>
    <row r="15">
      <c r="A15" s="2" t="n">
        <v>14</v>
      </c>
      <c r="B15" s="2" t="inlineStr">
        <is>
          <t>Sinh viên năm 3-4</t>
        </is>
      </c>
      <c r="C15" s="2" t="inlineStr">
        <is>
          <t>Chưa biết</t>
        </is>
      </c>
      <c r="D15" s="2" t="inlineStr"/>
    </row>
    <row r="16">
      <c r="A16" s="2" t="n">
        <v>15</v>
      </c>
      <c r="B16" s="2" t="inlineStr">
        <is>
          <t>Sinh viên năm 3-4</t>
        </is>
      </c>
      <c r="C16" s="2" t="inlineStr">
        <is>
          <t>1. “Portfolio &amp; CV Review Hub”: Góc chỉnh sửa hồ sơ nhanh
Upload CV/portfolio → mentor/anh chị cựu sinh viên góp ý.
2. Job &amp; Internship Radar (theo ngành + theo cựu sinh viên giới</t>
        </is>
      </c>
      <c r="D16" s="2" t="inlineStr">
        <is>
          <t>Cố vấn: hồ sơ/lộ trình cá nhân hóa</t>
        </is>
      </c>
    </row>
    <row r="17">
      <c r="A17" s="2" t="n">
        <v>16</v>
      </c>
      <c r="B17" s="2" t="inlineStr">
        <is>
          <t>Sinh viên năm 3-4</t>
        </is>
      </c>
      <c r="C17" s="2" t="inlineStr">
        <is>
          <t>tổng hợp kiến thức làm NCKH để ôn bài khi cần</t>
        </is>
      </c>
      <c r="D17" s="2" t="inlineStr"/>
    </row>
    <row r="18">
      <c r="A18" s="2" t="n">
        <v>17</v>
      </c>
      <c r="B18" s="2" t="inlineStr">
        <is>
          <t>Sinh viên năm 3-4</t>
        </is>
      </c>
      <c r="C18" s="2" t="inlineStr">
        <is>
          <t>Mình không biết</t>
        </is>
      </c>
      <c r="D18" s="2" t="inlineStr"/>
    </row>
    <row r="19">
      <c r="A19" s="2" t="n">
        <v>18</v>
      </c>
      <c r="B19" s="2" t="inlineStr">
        <is>
          <t>Sinh viên năm 3-4</t>
        </is>
      </c>
      <c r="C19" s="2" t="inlineStr">
        <is>
          <t>Không biết</t>
        </is>
      </c>
      <c r="D19" s="2" t="inlineStr"/>
    </row>
    <row r="20">
      <c r="A20" s="2" t="n">
        <v>19</v>
      </c>
      <c r="B20" s="2" t="inlineStr">
        <is>
          <t>Cựu sinh viên</t>
        </is>
      </c>
      <c r="C20" s="2" t="inlineStr">
        <is>
          <t>Cũng mún cho các mentor connect vs nhau để mở rộng networking</t>
        </is>
      </c>
      <c r="D20" s="2" t="inlineStr">
        <is>
          <t>Mạng lưới kết nối</t>
        </is>
      </c>
    </row>
    <row r="21">
      <c r="A21" s="2" t="n">
        <v>20</v>
      </c>
      <c r="B21" s="2" t="inlineStr">
        <is>
          <t>Cựu sinh viên</t>
        </is>
      </c>
      <c r="C21" s="2" t="inlineStr">
        <is>
          <t>Chia group để mentor làm với các mentee cùng chí hướng</t>
        </is>
      </c>
      <c r="D21" s="2" t="inlineStr"/>
    </row>
    <row r="22">
      <c r="A22" s="2" t="n">
        <v>21</v>
      </c>
      <c r="B22" s="2" t="inlineStr">
        <is>
          <t>Cựu sinh viên</t>
        </is>
      </c>
      <c r="C22" s="2" t="inlineStr">
        <is>
          <t>match bởi sở thích, tạo hoạt động, sự kiện chung</t>
        </is>
      </c>
      <c r="D22" s="2" t="inlineStr"/>
    </row>
    <row r="23">
      <c r="A23" s="2" t="n">
        <v>22</v>
      </c>
      <c r="B23" s="2" t="inlineStr">
        <is>
          <t>Cựu sinh viên</t>
        </is>
      </c>
      <c r="C23" s="2" t="inlineStr">
        <is>
          <t>Do mình cũng chưa xài thử nền tảng nào giống v nên mình cũng ko biết nên gợi ý thêm gì. Có thể có chế độ ẩn danh cho người dùng để trả lời thoải mái hơn</t>
        </is>
      </c>
      <c r="D23" s="2" t="inlineStr"/>
    </row>
    <row r="24">
      <c r="A24" s="2" t="n">
        <v>23</v>
      </c>
      <c r="B24" s="2" t="inlineStr">
        <is>
          <t>Cựu sinh viên</t>
        </is>
      </c>
      <c r="C24" s="2" t="inlineStr">
        <is>
          <t>Hmm... các tính năng nhóm nêu đã rất là đầy đủ và oke rùi, anh khom có góp ý gì thêm nha</t>
        </is>
      </c>
      <c r="D24" s="2" t="inlineStr"/>
    </row>
    <row r="25">
      <c r="A25" s="2" t="n">
        <v>24</v>
      </c>
      <c r="B25" s="2" t="inlineStr">
        <is>
          <t>Cựu sinh viên</t>
        </is>
      </c>
      <c r="C25" s="2" t="inlineStr">
        <is>
          <t>C chưa nghĩ ra</t>
        </is>
      </c>
      <c r="D25" s="2" t="inlineStr"/>
    </row>
    <row r="26">
      <c r="A26" s="2" t="n">
        <v>25</v>
      </c>
      <c r="B26" s="2" t="inlineStr">
        <is>
          <t>Sinh viên năm 3-4</t>
        </is>
      </c>
      <c r="C26" s="2" t="inlineStr">
        <is>
          <t>không biết</t>
        </is>
      </c>
      <c r="D26" s="2" t="inlineStr"/>
    </row>
    <row r="27">
      <c r="A27" s="2" t="n">
        <v>26</v>
      </c>
      <c r="B27" s="2" t="inlineStr">
        <is>
          <t>Sinh viên năm 3-4</t>
        </is>
      </c>
      <c r="C27" s="2" t="inlineStr">
        <is>
          <t>Tính năng matching mentor 1-1</t>
        </is>
      </c>
      <c r="D27" s="2" t="inlineStr"/>
    </row>
    <row r="28">
      <c r="A28" s="2" t="n">
        <v>27</v>
      </c>
      <c r="B28" s="2" t="inlineStr">
        <is>
          <t>Sinh viên năm 3-4</t>
        </is>
      </c>
      <c r="C28" s="2" t="inlineStr">
        <is>
          <t>Mình nghĩ không có ^.^</t>
        </is>
      </c>
      <c r="D28" s="2" t="inlineStr"/>
    </row>
    <row r="29">
      <c r="A29" s="2" t="n">
        <v>28</v>
      </c>
      <c r="B29" s="2" t="inlineStr">
        <is>
          <t>Sinh viên năm 3-4</t>
        </is>
      </c>
      <c r="C29" s="2" t="inlineStr">
        <is>
          <t>Hiện tại không có</t>
        </is>
      </c>
      <c r="D29" s="2" t="inlineStr"/>
    </row>
    <row r="30">
      <c r="A30" s="2" t="n">
        <v>29</v>
      </c>
      <c r="B30" s="2" t="inlineStr">
        <is>
          <t>Sinh viên năm 1-2/ Tân sinh viên</t>
        </is>
      </c>
      <c r="C30" s="2" t="inlineStr">
        <is>
          <t>Mình nghĩ là tính năng tổng hợp, lưu trữ lại những tài liệu, đồ án của các anh chị khóa trước để lại cho các bạn khóa sau sẽ giúp ích rất nhiều</t>
        </is>
      </c>
      <c r="D30" s="2" t="inlineStr">
        <is>
          <t>Học liệu: kho tài liệu theo môn</t>
        </is>
      </c>
    </row>
    <row r="31">
      <c r="A31" s="2" t="n">
        <v>30</v>
      </c>
      <c r="B31" s="2" t="inlineStr">
        <is>
          <t>Sinh viên năm 3-4</t>
        </is>
      </c>
      <c r="C31" s="2" t="inlineStr">
        <is>
          <t>A personalized career-path recommendation system based on current skills and career goals.</t>
        </is>
      </c>
      <c r="D31" s="2" t="inlineStr"/>
    </row>
    <row r="32">
      <c r="A32" s="2" t="n">
        <v>31</v>
      </c>
      <c r="B32" s="2" t="inlineStr">
        <is>
          <t>Sinh viên năm 1-2/ Tân sinh viên</t>
        </is>
      </c>
      <c r="C32" s="2" t="inlineStr">
        <is>
          <t>Nhắn tin trực tiếp với người hướng dẫn hoặc sử dụng AI để hỏi về bài tập và xác thực thông tin</t>
        </is>
      </c>
      <c r="D32" s="2" t="inlineStr"/>
    </row>
    <row r="33">
      <c r="A33" s="2" t="n">
        <v>32</v>
      </c>
      <c r="B33" s="2" t="inlineStr">
        <is>
          <t>Sinh viên năm 1-2/ Tân sinh viên</t>
        </is>
      </c>
      <c r="C33" s="2" t="inlineStr">
        <is>
          <t>Em chưa sử dụng alumverse</t>
        </is>
      </c>
      <c r="D33" s="2" t="inlineStr"/>
    </row>
    <row r="34">
      <c r="A34" s="2" t="n">
        <v>33</v>
      </c>
      <c r="B34" s="2" t="inlineStr">
        <is>
          <t>Sinh viên năm 3-4</t>
        </is>
      </c>
      <c r="C34" s="2" t="inlineStr">
        <is>
          <t>tính năng giúp tìm kiếm mentor trong ngành</t>
        </is>
      </c>
      <c r="D34" s="2" t="inlineStr"/>
    </row>
    <row r="35">
      <c r="A35" s="2" t="n">
        <v>34</v>
      </c>
      <c r="B35" s="2" t="inlineStr">
        <is>
          <t>Sinh viên năm 3-4</t>
        </is>
      </c>
      <c r="C35" s="2" t="inlineStr">
        <is>
          <t>1. Mentoring 1-1 theo lịch hẹn
2. Có nhiều networking room theo chủ đề hàng tuần
3. Roadmap được cá nhân hóa: gợi ý lộ trình học tập, với kỹ năng cần trang bị cho chuyên ngành hoặc</t>
        </is>
      </c>
      <c r="D35" s="2" t="inlineStr">
        <is>
          <t>Cố vấn: hồ sơ/lộ trình cá nhân hóa</t>
        </is>
      </c>
    </row>
    <row r="36">
      <c r="A36" s="2" t="n">
        <v>35</v>
      </c>
      <c r="B36" s="2" t="inlineStr">
        <is>
          <t>Sinh viên năm 3-4</t>
        </is>
      </c>
      <c r="C36" s="2" t="inlineStr">
        <is>
          <t>tính năng tìm kiếm mentor giúp đỡ trong việc tìm kiếm việc làm, nâng cao khả năng làm việc</t>
        </is>
      </c>
      <c r="D36" s="2" t="inlineStr">
        <is>
          <t>Cổng việc làm</t>
        </is>
      </c>
    </row>
    <row r="37">
      <c r="A37" s="2" t="n">
        <v>36</v>
      </c>
      <c r="B37" s="2" t="inlineStr">
        <is>
          <t>Sinh viên năm 3-4</t>
        </is>
      </c>
      <c r="C37" s="2" t="inlineStr">
        <is>
          <t>Nghề nghiệp và định hướng cao học</t>
        </is>
      </c>
      <c r="D37" s="2" t="inlineStr"/>
    </row>
    <row r="38">
      <c r="A38" s="2" t="n">
        <v>37</v>
      </c>
      <c r="B38" s="2" t="inlineStr">
        <is>
          <t>Sinh viên năm 3-4</t>
        </is>
      </c>
      <c r="C38" s="2" t="inlineStr">
        <is>
          <t>Tính năng giúp thống kê và gợi ý lộ trình học tập – kỹ năng – chứng chỉ phù hợp theo ngành, giúp sinh viên năm 3–4 định hướng rõ ràng hơn.</t>
        </is>
      </c>
      <c r="D38" s="2" t="inlineStr"/>
    </row>
    <row r="39">
      <c r="A39" s="2" t="n">
        <v>38</v>
      </c>
      <c r="B39" s="2" t="inlineStr">
        <is>
          <t>Sinh viên năm 3-4</t>
        </is>
      </c>
      <c r="C39" s="2" t="inlineStr">
        <is>
          <t>Mình không</t>
        </is>
      </c>
      <c r="D39" s="2" t="inlineStr"/>
    </row>
    <row r="40">
      <c r="A40" s="2" t="n">
        <v>39</v>
      </c>
      <c r="B40" s="2" t="inlineStr">
        <is>
          <t>Sinh viên năm 3-4</t>
        </is>
      </c>
      <c r="C40" s="2" t="inlineStr">
        <is>
          <t>Nền tảng tổng hợp mọi thông tin</t>
        </is>
      </c>
      <c r="D40" s="2" t="inlineStr"/>
    </row>
    <row r="41">
      <c r="A41" s="2" t="n">
        <v>40</v>
      </c>
      <c r="B41" s="2" t="inlineStr">
        <is>
          <t>Sinh viên năm 3-4</t>
        </is>
      </c>
      <c r="C41" s="2" t="inlineStr">
        <is>
          <t>Chưa biết</t>
        </is>
      </c>
      <c r="D41" s="2" t="inlineStr"/>
    </row>
    <row r="42">
      <c r="A42" s="2" t="n">
        <v>41</v>
      </c>
      <c r="B42" s="2" t="inlineStr">
        <is>
          <t>Sinh viên năm 3-4</t>
        </is>
      </c>
      <c r="C42" s="2" t="inlineStr">
        <is>
          <t>hong có</t>
        </is>
      </c>
      <c r="D42" s="2" t="inlineStr"/>
    </row>
    <row r="43">
      <c r="A43" s="2" t="n">
        <v>42</v>
      </c>
      <c r="B43" s="2" t="inlineStr">
        <is>
          <t>Sinh viên năm 3-4</t>
        </is>
      </c>
      <c r="C43" s="2" t="inlineStr">
        <is>
          <t>Tôi không biết</t>
        </is>
      </c>
      <c r="D43" s="2" t="inlineStr"/>
    </row>
    <row r="44">
      <c r="A44" s="2" t="n">
        <v>43</v>
      </c>
      <c r="B44" s="2" t="inlineStr">
        <is>
          <t>Sinh viên năm 3-4</t>
        </is>
      </c>
      <c r="C44" s="2" t="inlineStr">
        <is>
          <t>Kết nối người từng học chương trình mà mình quan tâm</t>
        </is>
      </c>
      <c r="D44" s="2" t="inlineStr"/>
    </row>
    <row r="45">
      <c r="A45" s="2" t="n">
        <v>44</v>
      </c>
      <c r="B45" s="2" t="inlineStr">
        <is>
          <t>Cựu sinh viên</t>
        </is>
      </c>
      <c r="C45" s="2" t="inlineStr">
        <is>
          <t>Không biết</t>
        </is>
      </c>
      <c r="D45" s="2" t="inlineStr"/>
    </row>
    <row r="46">
      <c r="A46" s="2" t="n">
        <v>45</v>
      </c>
      <c r="B46" s="2" t="inlineStr">
        <is>
          <t>Sinh viên năm 3-4</t>
        </is>
      </c>
      <c r="C46" s="2" t="inlineStr">
        <is>
          <t>Chưa nghĩ đến</t>
        </is>
      </c>
      <c r="D46" s="2" t="inlineStr"/>
    </row>
    <row r="47">
      <c r="A47" s="2" t="n">
        <v>46</v>
      </c>
      <c r="B47" s="2" t="inlineStr">
        <is>
          <t>Sinh viên năm 3-4</t>
        </is>
      </c>
      <c r="C47" s="2" t="inlineStr">
        <is>
          <t>Dạ khôngaj | Dạ không có ạ</t>
        </is>
      </c>
      <c r="D47" s="2" t="inlineStr"/>
    </row>
    <row r="48">
      <c r="A48" s="2" t="n">
        <v>47</v>
      </c>
      <c r="B48" s="2" t="inlineStr">
        <is>
          <t>Sinh viên năm 3-4</t>
        </is>
      </c>
      <c r="C48" s="2" t="inlineStr">
        <is>
          <t>mình ko biết</t>
        </is>
      </c>
      <c r="D48" s="2" t="inlineStr"/>
    </row>
    <row r="49">
      <c r="A49" s="2" t="n">
        <v>48</v>
      </c>
      <c r="B49" s="2" t="inlineStr">
        <is>
          <t>Sinh viên năm 3-4</t>
        </is>
      </c>
      <c r="C49" s="2" t="inlineStr">
        <is>
          <t>Mình không</t>
        </is>
      </c>
      <c r="D49" s="2" t="inlineStr"/>
    </row>
    <row r="50">
      <c r="A50" s="2" t="n">
        <v>49</v>
      </c>
      <c r="B50" s="2" t="inlineStr">
        <is>
          <t>Sinh viên năm 3-4</t>
        </is>
      </c>
      <c r="C50" s="2" t="inlineStr">
        <is>
          <t>Chưa ạ</t>
        </is>
      </c>
      <c r="D50" s="2" t="inlineStr"/>
    </row>
    <row r="51">
      <c r="A51" s="2" t="n">
        <v>50</v>
      </c>
      <c r="B51" s="2" t="inlineStr">
        <is>
          <t>Sinh viên năm 1-2/ Tân sinh viên</t>
        </is>
      </c>
      <c r="C51" s="2" t="inlineStr">
        <is>
          <t>Chatbot hỗ trợ</t>
        </is>
      </c>
      <c r="D51" s="2" t="inlineStr"/>
    </row>
    <row r="52">
      <c r="A52" s="2" t="n">
        <v>51</v>
      </c>
      <c r="B52" s="2" t="inlineStr">
        <is>
          <t>Cựu sinh viên</t>
        </is>
      </c>
      <c r="C52" s="2" t="inlineStr">
        <is>
          <t>Không có đề xuất</t>
        </is>
      </c>
      <c r="D52" s="2" t="inlineStr"/>
    </row>
    <row r="53">
      <c r="A53" s="2" t="n">
        <v>52</v>
      </c>
      <c r="B53" s="2" t="inlineStr">
        <is>
          <t>Cựu sinh viên</t>
        </is>
      </c>
      <c r="C53" s="2" t="inlineStr">
        <is>
          <t>Anh chưa nghĩ ra những tính năng nào khác</t>
        </is>
      </c>
      <c r="D53"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95" customWidth="1" min="2" max="2"/>
  </cols>
  <sheetData>
    <row r="1">
      <c r="A1" s="3" t="inlineStr">
        <is>
          <t>PHƯƠNG PHÁP THỐNG KÊ</t>
        </is>
      </c>
      <c r="B1" s="3" t="inlineStr"/>
    </row>
    <row r="2">
      <c r="A2" s="2" t="inlineStr">
        <is>
          <t>Nguồn dữ liệu</t>
        </is>
      </c>
      <c r="B2" s="2" t="inlineStr">
        <is>
          <t>Xuất từ Google Form khảo sát, N=90 phản hồi hợp lệ (sheet 1_DuLieuNguon)</t>
        </is>
      </c>
    </row>
    <row r="3">
      <c r="A3" s="2" t="inlineStr">
        <is>
          <t>Cách số hoá Likert</t>
        </is>
      </c>
      <c r="B3" s="2" t="inlineStr">
        <is>
          <t>Cột *_num dùng công thức =IFERROR(VALUE(LEFT(ô,1)),"") để lấy điểm 1-5 từ đáp án dạng '5 - Rất quan tâm'</t>
        </is>
      </c>
    </row>
    <row r="4">
      <c r="A4" s="2" t="inlineStr">
        <is>
          <t>Tại sao tách nhóm</t>
        </is>
      </c>
      <c r="B4" s="2" t="inlineStr">
        <is>
          <t>SV (năm 1-2 và 3-4) và CSV trả lời HAI bộ câu khác nhau nên tính riêng, không gộp trung bình chung</t>
        </is>
      </c>
    </row>
    <row r="5">
      <c r="A5" s="2" t="inlineStr">
        <is>
          <t>Công thức tổng hợp</t>
        </is>
      </c>
      <c r="B5" s="2" t="inlineStr">
        <is>
          <t>Sheet 2-5 dùng COUNTIF/AVERAGE/COUNT trực tiếp trên nguồn; mở file sẽ thấy hàm, không phải số cố định</t>
        </is>
      </c>
    </row>
    <row r="6">
      <c r="A6" s="2" t="inlineStr">
        <is>
          <t>Giới hạn</t>
        </is>
      </c>
      <c r="B6" s="2" t="inlineStr">
        <is>
          <t>Mẫu nhỏ, nghiêng SV, không thuần một trường (74/90 thuộc ĐHQG-HCM) → chỉ dùng thăm dò định hướng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2026-07-09T16:52:42Z</dcterms:created>
  <dcterms:modified xmlns:dcterms="http://purl.org/dc/terms/" xmlns:xsi="http://www.w3.org/2001/XMLSchema-instance" xsi:type="dcterms:W3CDTF">2026-07-09T17:02:10Z</dcterms:modified>
</cp:coreProperties>
</file>